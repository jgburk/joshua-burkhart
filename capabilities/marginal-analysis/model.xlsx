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burkhart/Software/joshua-burkhart/capabilities/marginal-analysis/"/>
    </mc:Choice>
  </mc:AlternateContent>
  <xr:revisionPtr revIDLastSave="0" documentId="13_ncr:1_{D52E054D-6CE6-F149-B355-B32D3A9A32C6}" xr6:coauthVersionLast="47" xr6:coauthVersionMax="47" xr10:uidLastSave="{00000000-0000-0000-0000-000000000000}"/>
  <bookViews>
    <workbookView xWindow="13600" yWindow="5820" windowWidth="20000" windowHeight="15180" xr2:uid="{00000000-000D-0000-FFFF-FFFF00000000}"/>
  </bookViews>
  <sheets>
    <sheet name="Model" sheetId="1" r:id="rId1"/>
  </sheets>
  <definedNames>
    <definedName name="all_checks">Model!$B$79</definedName>
    <definedName name="beds_max">Model!$B$5</definedName>
    <definedName name="beds_total">Model!$B$38</definedName>
    <definedName name="blended_rate">Model!$B$49</definedName>
    <definedName name="cap_c">Model!$B$23</definedName>
    <definedName name="cap_m">Model!$B$28</definedName>
    <definedName name="cap_t">Model!$B$18</definedName>
    <definedName name="dim_c">Model!$B$27</definedName>
    <definedName name="dim_m">Model!$B$32</definedName>
    <definedName name="dim_t">Model!$B$22</definedName>
    <definedName name="fert_c">Model!$B$26</definedName>
    <definedName name="fert_cost_c">Model!$B$56</definedName>
    <definedName name="fert_cost_m">Model!$B$59</definedName>
    <definedName name="fert_cost_t">Model!$B$53</definedName>
    <definedName name="fert_m">Model!$B$31</definedName>
    <definedName name="fert_t">Model!$B$21</definedName>
    <definedName name="field_share">Model!$B$8</definedName>
    <definedName name="fixed_cost">Model!$B$4</definedName>
    <definedName name="hrs_c">Model!$B$25</definedName>
    <definedName name="hrs_m">Model!$B$30</definedName>
    <definedName name="hrs_per_wk">Model!$B$7</definedName>
    <definedName name="hrs_t">Model!$B$20</definedName>
    <definedName name="labor_cost">Model!$B$48</definedName>
    <definedName name="labor_cost_c">Model!$B$57</definedName>
    <definedName name="labor_cost_m">Model!$B$60</definedName>
    <definedName name="labor_cost_t">Model!$B$54</definedName>
    <definedName name="labor_hrs_c">Model!$B$42</definedName>
    <definedName name="labor_hrs_m">Model!$B$43</definedName>
    <definedName name="labor_hrs_t">Model!$B$41</definedName>
    <definedName name="labor_hrs_t_q1">Model!$B$66</definedName>
    <definedName name="owner_paid_hrs">Model!$B$9</definedName>
    <definedName name="owner_pay">Model!$B$6</definedName>
    <definedName name="perm_field_hrs">Model!$B$10</definedName>
    <definedName name="perm_rate">Model!$B$11</definedName>
    <definedName name="perm_used">Model!$B$45</definedName>
    <definedName name="price_c">Model!$B$24</definedName>
    <definedName name="price_m">Model!$B$29</definedName>
    <definedName name="price_t">Model!$B$19</definedName>
    <definedName name="profit_total">Model!$B$63</definedName>
    <definedName name="q_carrot">Model!$B$36</definedName>
    <definedName name="q_mesclun">Model!$B$37</definedName>
    <definedName name="q_tomato">Model!$B$35</definedName>
    <definedName name="revenue_c">Model!$B$55</definedName>
    <definedName name="revenue_m">Model!$B$58</definedName>
    <definedName name="revenue_t">Model!$B$52</definedName>
    <definedName name="solver_adj" localSheetId="0" hidden="1">Model!$B$35,Model!$B$36,Model!$B$37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hs1" localSheetId="0" hidden="1">Model!$B$35:$B$37</definedName>
    <definedName name="solver_lhs2" localSheetId="0" hidden="1">Model!$B$38</definedName>
    <definedName name="solver_lhs3" localSheetId="0" hidden="1">Model!$B$36</definedName>
    <definedName name="solver_lhs4" localSheetId="0" hidden="1">Model!$B$37</definedName>
    <definedName name="solver_lhs5" localSheetId="0" hidden="1">Model!$B$35</definedName>
    <definedName name="solver_lhs6" localSheetId="0" hidden="1">Model!$B$47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6</definedName>
    <definedName name="solver_opt" localSheetId="0" hidden="1">Model!$B$63</definedName>
    <definedName name="solver_pre" localSheetId="0" hidden="1">0.000001</definedName>
    <definedName name="solver_rbv" localSheetId="0" hidden="1">1</definedName>
    <definedName name="solver_rel1" localSheetId="0" hidden="1">4</definedName>
    <definedName name="solver_rel2" localSheetId="0" hidden="1">1</definedName>
    <definedName name="solver_rel3" localSheetId="0" hidden="1">1</definedName>
    <definedName name="solver_rel4" localSheetId="0" hidden="1">1</definedName>
    <definedName name="solver_rel5" localSheetId="0" hidden="1">1</definedName>
    <definedName name="solver_rel6" localSheetId="0" hidden="1">1</definedName>
    <definedName name="solver_rhs1" localSheetId="0" hidden="1">"integer"</definedName>
    <definedName name="solver_rhs2" localSheetId="0" hidden="1">beds_max</definedName>
    <definedName name="solver_rhs3" localSheetId="0" hidden="1">cap_c</definedName>
    <definedName name="solver_rhs4" localSheetId="0" hidden="1">cap_m</definedName>
    <definedName name="solver_rhs5" localSheetId="0" hidden="1">cap_t</definedName>
    <definedName name="solver_rhs6" localSheetId="0" hidden="1">temp_max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</definedName>
    <definedName name="solver_typ" localSheetId="0" hidden="1">1</definedName>
    <definedName name="solver_val" localSheetId="0" hidden="1">0</definedName>
    <definedName name="solver_ver" localSheetId="0" hidden="1">2</definedName>
    <definedName name="temp_hrs">Model!$B$46</definedName>
    <definedName name="temp_hrs_per_worker">Model!$B$14</definedName>
    <definedName name="temp_max">Model!$B$12</definedName>
    <definedName name="temp_pay">Model!$B$13</definedName>
    <definedName name="temp_rate">Model!$B$15</definedName>
    <definedName name="temp_workers">Model!$B$47</definedName>
    <definedName name="total_hrs">Model!$B$44</definedName>
    <definedName name="weeks">Model!$B$3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7" i="1" l="1"/>
  <c r="B74" i="1"/>
  <c r="B73" i="1"/>
  <c r="B72" i="1"/>
  <c r="B70" i="1"/>
  <c r="B69" i="1"/>
  <c r="B68" i="1"/>
  <c r="B66" i="1"/>
  <c r="B67" i="1" s="1"/>
  <c r="B59" i="1"/>
  <c r="B58" i="1"/>
  <c r="B56" i="1"/>
  <c r="B55" i="1"/>
  <c r="B53" i="1"/>
  <c r="B52" i="1"/>
  <c r="B41" i="1"/>
  <c r="B38" i="1"/>
  <c r="B75" i="1" s="1"/>
  <c r="B30" i="1"/>
  <c r="B43" i="1" s="1"/>
  <c r="B25" i="1"/>
  <c r="B42" i="1" s="1"/>
  <c r="B14" i="1"/>
  <c r="B15" i="1" s="1"/>
  <c r="B9" i="1"/>
  <c r="B10" i="1" l="1"/>
  <c r="B44" i="1"/>
  <c r="B11" i="1"/>
  <c r="B46" i="1" l="1"/>
  <c r="B47" i="1" s="1"/>
  <c r="B76" i="1" s="1"/>
  <c r="B45" i="1"/>
  <c r="B48" i="1" l="1"/>
  <c r="B63" i="1" s="1"/>
  <c r="B71" i="1" s="1"/>
  <c r="B49" i="1" l="1"/>
  <c r="B57" i="1" s="1"/>
  <c r="B60" i="1"/>
  <c r="B54" i="1" l="1"/>
  <c r="B78" i="1"/>
  <c r="B79" i="1" s="1"/>
</calcChain>
</file>

<file path=xl/sharedStrings.xml><?xml version="1.0" encoding="utf-8"?>
<sst xmlns="http://schemas.openxmlformats.org/spreadsheetml/2006/main" count="180" uniqueCount="147">
  <si>
    <t>Perfect competition planting model — built from spec.md (d1fc1bd)</t>
  </si>
  <si>
    <t>INPUTS — the farm (case givens)</t>
  </si>
  <si>
    <t>Season length</t>
  </si>
  <si>
    <t>weeks</t>
  </si>
  <si>
    <t>weeks per season</t>
  </si>
  <si>
    <t>Fixed costs</t>
  </si>
  <si>
    <t>fixed_cost</t>
  </si>
  <si>
    <t>USD per season</t>
  </si>
  <si>
    <t>Beds available, all crops</t>
  </si>
  <si>
    <t>beds_max</t>
  </si>
  <si>
    <t>beds</t>
  </si>
  <si>
    <t>Owner pay</t>
  </si>
  <si>
    <t>owner_pay</t>
  </si>
  <si>
    <t>Paid hours per week</t>
  </si>
  <si>
    <t>hrs_per_wk</t>
  </si>
  <si>
    <t>hours per week</t>
  </si>
  <si>
    <t>Owner field share</t>
  </si>
  <si>
    <t>field_share</t>
  </si>
  <si>
    <t>share of paid hours</t>
  </si>
  <si>
    <t>Owner paid hours</t>
  </si>
  <si>
    <t>owner_paid_hrs</t>
  </si>
  <si>
    <t>hours per season</t>
  </si>
  <si>
    <t>Owner field hours</t>
  </si>
  <si>
    <t>perm_field_hrs</t>
  </si>
  <si>
    <t>Owner implied rate</t>
  </si>
  <si>
    <t>perm_rate</t>
  </si>
  <si>
    <t>USD per hour</t>
  </si>
  <si>
    <t>Temporary workers (max)</t>
  </si>
  <si>
    <t>temp_max</t>
  </si>
  <si>
    <t>workers</t>
  </si>
  <si>
    <t>Temp pay per worker</t>
  </si>
  <si>
    <t>temp_pay</t>
  </si>
  <si>
    <t>USD per worker per season</t>
  </si>
  <si>
    <t>Temp hours per worker</t>
  </si>
  <si>
    <t>temp_hrs_per_worker</t>
  </si>
  <si>
    <t>field hours per worker</t>
  </si>
  <si>
    <t>Temp rate</t>
  </si>
  <si>
    <t>temp_rate</t>
  </si>
  <si>
    <t>INPUTS — crops (case givens)</t>
  </si>
  <si>
    <t>Tomatoes: bed cap</t>
  </si>
  <si>
    <t>cap_t</t>
  </si>
  <si>
    <t>Tomatoes: price</t>
  </si>
  <si>
    <t>price_t</t>
  </si>
  <si>
    <t>USD revenue per bed per season</t>
  </si>
  <si>
    <t>Tomatoes: field hrs/wk/bed</t>
  </si>
  <si>
    <t>hrs_t</t>
  </si>
  <si>
    <t>hours per week per bed</t>
  </si>
  <si>
    <t>Tomatoes: fertilizer</t>
  </si>
  <si>
    <t>fert_t</t>
  </si>
  <si>
    <t>USD per bed per season</t>
  </si>
  <si>
    <t>Tomatoes: diminishing returns</t>
  </si>
  <si>
    <t>dim_t</t>
  </si>
  <si>
    <t>share per bed</t>
  </si>
  <si>
    <t>Carrots: bed cap</t>
  </si>
  <si>
    <t>cap_c</t>
  </si>
  <si>
    <t>Carrots: price</t>
  </si>
  <si>
    <t>price_c</t>
  </si>
  <si>
    <t>Carrots: field hrs/wk/bed</t>
  </si>
  <si>
    <t>hrs_c</t>
  </si>
  <si>
    <t>Carrots: fertilizer</t>
  </si>
  <si>
    <t>fert_c</t>
  </si>
  <si>
    <t>Carrots: diminishing returns</t>
  </si>
  <si>
    <t>dim_c</t>
  </si>
  <si>
    <t>Mesclun: bed cap</t>
  </si>
  <si>
    <t>cap_m</t>
  </si>
  <si>
    <t>Mesclun: price</t>
  </si>
  <si>
    <t>price_m</t>
  </si>
  <si>
    <t>Mesclun: field hrs/wk/bed</t>
  </si>
  <si>
    <t>hrs_m</t>
  </si>
  <si>
    <t>Mesclun: fertilizer</t>
  </si>
  <si>
    <t>fert_m</t>
  </si>
  <si>
    <t>Mesclun: diminishing returns</t>
  </si>
  <si>
    <t>dim_m</t>
  </si>
  <si>
    <t>DECISION — beds to plant (Solver changing cells)</t>
  </si>
  <si>
    <t>Tomatoes beds</t>
  </si>
  <si>
    <t>q_tomato</t>
  </si>
  <si>
    <t>decision cell, whole number</t>
  </si>
  <si>
    <t>Carrots beds</t>
  </si>
  <si>
    <t>q_carrot</t>
  </si>
  <si>
    <t>Mesclun beds</t>
  </si>
  <si>
    <t>q_mesclun</t>
  </si>
  <si>
    <t>Beds planted</t>
  </si>
  <si>
    <t>beds_total</t>
  </si>
  <si>
    <t>LABOR</t>
  </si>
  <si>
    <t>Tomatoes labor hours</t>
  </si>
  <si>
    <t>labor_hrs_t</t>
  </si>
  <si>
    <t>Carrots labor hours</t>
  </si>
  <si>
    <t>labor_hrs_c</t>
  </si>
  <si>
    <t>Mesclun labor hours</t>
  </si>
  <si>
    <t>labor_hrs_m</t>
  </si>
  <si>
    <t>Total hours</t>
  </si>
  <si>
    <t>total_hrs</t>
  </si>
  <si>
    <t>hours</t>
  </si>
  <si>
    <t>Owner hours used</t>
  </si>
  <si>
    <t>perm_used</t>
  </si>
  <si>
    <t>Temp hours</t>
  </si>
  <si>
    <t>temp_hrs</t>
  </si>
  <si>
    <t>Temp workers</t>
  </si>
  <si>
    <t>temp_workers</t>
  </si>
  <si>
    <t>workers (fractional)</t>
  </si>
  <si>
    <t>Labor cost</t>
  </si>
  <si>
    <t>labor_cost</t>
  </si>
  <si>
    <t>USD</t>
  </si>
  <si>
    <t>Blended rate</t>
  </si>
  <si>
    <t>blended_rate</t>
  </si>
  <si>
    <t>FARM P&amp;L</t>
  </si>
  <si>
    <t>Tomatoes revenue</t>
  </si>
  <si>
    <t>revenue_t</t>
  </si>
  <si>
    <t>Tomatoes fertilizer</t>
  </si>
  <si>
    <t>fert_cost_t</t>
  </si>
  <si>
    <t>Tomatoes labor cost</t>
  </si>
  <si>
    <t>labor_cost_t</t>
  </si>
  <si>
    <t>Carrots revenue</t>
  </si>
  <si>
    <t>revenue_c</t>
  </si>
  <si>
    <t>Carrots fertilizer</t>
  </si>
  <si>
    <t>fert_cost_c</t>
  </si>
  <si>
    <t>Carrots labor cost</t>
  </si>
  <si>
    <t>labor_cost_c</t>
  </si>
  <si>
    <t>Mesclun revenue</t>
  </si>
  <si>
    <t>revenue_m</t>
  </si>
  <si>
    <t>Mesclun fertilizer</t>
  </si>
  <si>
    <t>fert_cost_m</t>
  </si>
  <si>
    <t>Mesclun labor cost</t>
  </si>
  <si>
    <t>labor_cost_m</t>
  </si>
  <si>
    <t>PROFIT (Solver objective)</t>
  </si>
  <si>
    <t>Profit</t>
  </si>
  <si>
    <t>profit_total</t>
  </si>
  <si>
    <t>USD — maximize</t>
  </si>
  <si>
    <t>CHECKS — TRUE is green, FALSE is red (spec: Validation rules)</t>
  </si>
  <si>
    <t>Tomato hours at q = 1</t>
  </si>
  <si>
    <t>labor_hrs_t_q1</t>
  </si>
  <si>
    <t>Hand check q = 1: ABS(hours − 99.0) &lt;= 0.01</t>
  </si>
  <si>
    <t>Tomatoes = 10: ABS(q − 10) &lt;= 0</t>
  </si>
  <si>
    <t>Carrots = 20: ABS(q − 20) &lt;= 0</t>
  </si>
  <si>
    <t>Mesclun = 30: ABS(q − 30) &lt;= 0</t>
  </si>
  <si>
    <t>Profit: ABS(profit − 42,762) &lt;= $1</t>
  </si>
  <si>
    <t>Tomatoes within cap</t>
  </si>
  <si>
    <t>Carrots within cap</t>
  </si>
  <si>
    <t>Mesclun within cap</t>
  </si>
  <si>
    <t>Total beds within beds_max</t>
  </si>
  <si>
    <t>Temp workers within temp_max</t>
  </si>
  <si>
    <t>Bed counts are whole numbers</t>
  </si>
  <si>
    <t>No error cells</t>
  </si>
  <si>
    <t>All checks pass</t>
  </si>
  <si>
    <t>all_checks</t>
  </si>
  <si>
    <t>SOLVER MODEL — use Load/Save → Save into D below</t>
  </si>
  <si>
    <t>Saved Solver model goes in column D starting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</si>
</sst>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"/>
    <numFmt numFmtId="165" formatCode="\$#,##0.00"/>
    <numFmt numFmtId="166" formatCode="0.000"/>
    <numFmt numFmtId="167" formatCode="#,##0.0"/>
  </numFmts>
  <fonts count="3" x14ac:knownFonts="1">
    <font>
      <sz val="11"/>
      <color theme="1"/>
      <name val="Calibri"/>
      <family val="2"/>
      <scheme val="minor"/>
    </font>
    <font>
      <b/>
      <sz val="13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0" fillId="3" borderId="0" xfId="0" applyFill="1"/>
    <xf numFmtId="164" fontId="0" fillId="3" borderId="0" xfId="0" applyNumberFormat="1" applyFill="1"/>
    <xf numFmtId="9" fontId="0" fillId="3" borderId="0" xfId="0" applyNumberFormat="1" applyFill="1"/>
    <xf numFmtId="3" fontId="0" fillId="0" borderId="0" xfId="0" applyNumberFormat="1"/>
    <xf numFmtId="165" fontId="0" fillId="0" borderId="0" xfId="0" applyNumberFormat="1"/>
    <xf numFmtId="166" fontId="0" fillId="3" borderId="0" xfId="0" applyNumberFormat="1" applyFill="1"/>
    <xf numFmtId="10" fontId="0" fillId="3" borderId="0" xfId="0" applyNumberFormat="1" applyFill="1"/>
    <xf numFmtId="166" fontId="0" fillId="0" borderId="0" xfId="0" applyNumberFormat="1"/>
    <xf numFmtId="0" fontId="0" fillId="4" borderId="0" xfId="0" applyFill="1"/>
    <xf numFmtId="167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5" borderId="0" xfId="0" applyNumberFormat="1" applyFill="1"/>
    <xf numFmtId="0" fontId="2" fillId="0" borderId="0" xfId="0" applyFont="1"/>
  </cellXfs>
  <cellStyles count="1">
    <cellStyle name="Normal" xfId="0" builtinId="0"/>
  </cellStyles>
  <dxfs count="2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2"/>
  <sheetViews>
    <sheetView tabSelected="1" topLeftCell="A31" workbookViewId="0">
      <selection activeCell="B35" sqref="B35:B37"/>
    </sheetView>
  </sheetViews>
  <sheetFormatPr baseColWidth="10" defaultColWidth="8.83203125" defaultRowHeight="15" x14ac:dyDescent="0.2"/>
  <cols>
    <col min="1" max="1" width="44" customWidth="1"/>
    <col min="2" max="2" width="16" customWidth="1"/>
    <col min="3" max="3" width="22" customWidth="1"/>
    <col min="4" max="4" width="40" customWidth="1"/>
  </cols>
  <sheetData>
    <row r="1" spans="1:4" ht="17" x14ac:dyDescent="0.2">
      <c r="A1" s="1" t="s">
        <v>0</v>
      </c>
    </row>
    <row r="2" spans="1:4" x14ac:dyDescent="0.2">
      <c r="A2" s="2" t="s">
        <v>1</v>
      </c>
      <c r="B2" s="3"/>
      <c r="C2" s="3"/>
      <c r="D2" s="3"/>
    </row>
    <row r="3" spans="1:4" x14ac:dyDescent="0.2">
      <c r="A3" t="s">
        <v>2</v>
      </c>
      <c r="B3" s="4">
        <v>36</v>
      </c>
      <c r="C3" t="s">
        <v>3</v>
      </c>
      <c r="D3" t="s">
        <v>4</v>
      </c>
    </row>
    <row r="4" spans="1:4" x14ac:dyDescent="0.2">
      <c r="A4" t="s">
        <v>5</v>
      </c>
      <c r="B4" s="5">
        <v>20000</v>
      </c>
      <c r="C4" t="s">
        <v>6</v>
      </c>
      <c r="D4" t="s">
        <v>7</v>
      </c>
    </row>
    <row r="5" spans="1:4" x14ac:dyDescent="0.2">
      <c r="A5" t="s">
        <v>8</v>
      </c>
      <c r="B5" s="4">
        <v>64</v>
      </c>
      <c r="C5" t="s">
        <v>9</v>
      </c>
      <c r="D5" t="s">
        <v>10</v>
      </c>
    </row>
    <row r="6" spans="1:4" x14ac:dyDescent="0.2">
      <c r="A6" t="s">
        <v>11</v>
      </c>
      <c r="B6" s="5">
        <v>50000</v>
      </c>
      <c r="C6" t="s">
        <v>12</v>
      </c>
      <c r="D6" t="s">
        <v>7</v>
      </c>
    </row>
    <row r="7" spans="1:4" x14ac:dyDescent="0.2">
      <c r="A7" t="s">
        <v>13</v>
      </c>
      <c r="B7" s="4">
        <v>40</v>
      </c>
      <c r="C7" t="s">
        <v>14</v>
      </c>
      <c r="D7" t="s">
        <v>15</v>
      </c>
    </row>
    <row r="8" spans="1:4" x14ac:dyDescent="0.2">
      <c r="A8" t="s">
        <v>16</v>
      </c>
      <c r="B8" s="6">
        <v>0.5</v>
      </c>
      <c r="C8" t="s">
        <v>17</v>
      </c>
      <c r="D8" t="s">
        <v>18</v>
      </c>
    </row>
    <row r="9" spans="1:4" x14ac:dyDescent="0.2">
      <c r="A9" t="s">
        <v>19</v>
      </c>
      <c r="B9" s="7">
        <f>hrs_per_wk*weeks</f>
        <v>1440</v>
      </c>
      <c r="C9" t="s">
        <v>20</v>
      </c>
      <c r="D9" t="s">
        <v>21</v>
      </c>
    </row>
    <row r="10" spans="1:4" x14ac:dyDescent="0.2">
      <c r="A10" t="s">
        <v>22</v>
      </c>
      <c r="B10" s="7">
        <f>owner_paid_hrs*field_share</f>
        <v>720</v>
      </c>
      <c r="C10" t="s">
        <v>23</v>
      </c>
      <c r="D10" t="s">
        <v>21</v>
      </c>
    </row>
    <row r="11" spans="1:4" x14ac:dyDescent="0.2">
      <c r="A11" t="s">
        <v>24</v>
      </c>
      <c r="B11" s="8">
        <f>owner_pay/owner_paid_hrs</f>
        <v>34.722222222222221</v>
      </c>
      <c r="C11" t="s">
        <v>25</v>
      </c>
      <c r="D11" t="s">
        <v>26</v>
      </c>
    </row>
    <row r="12" spans="1:4" x14ac:dyDescent="0.2">
      <c r="A12" t="s">
        <v>27</v>
      </c>
      <c r="B12" s="4">
        <v>4</v>
      </c>
      <c r="C12" t="s">
        <v>28</v>
      </c>
      <c r="D12" t="s">
        <v>29</v>
      </c>
    </row>
    <row r="13" spans="1:4" x14ac:dyDescent="0.2">
      <c r="A13" t="s">
        <v>30</v>
      </c>
      <c r="B13" s="5">
        <v>25000</v>
      </c>
      <c r="C13" t="s">
        <v>31</v>
      </c>
      <c r="D13" t="s">
        <v>32</v>
      </c>
    </row>
    <row r="14" spans="1:4" x14ac:dyDescent="0.2">
      <c r="A14" t="s">
        <v>33</v>
      </c>
      <c r="B14" s="7">
        <f>hrs_per_wk*weeks</f>
        <v>1440</v>
      </c>
      <c r="C14" t="s">
        <v>34</v>
      </c>
      <c r="D14" t="s">
        <v>35</v>
      </c>
    </row>
    <row r="15" spans="1:4" x14ac:dyDescent="0.2">
      <c r="A15" t="s">
        <v>36</v>
      </c>
      <c r="B15" s="8">
        <f>temp_pay/temp_hrs_per_worker</f>
        <v>17.361111111111111</v>
      </c>
      <c r="C15" t="s">
        <v>37</v>
      </c>
      <c r="D15" t="s">
        <v>26</v>
      </c>
    </row>
    <row r="17" spans="1:4" x14ac:dyDescent="0.2">
      <c r="A17" s="2" t="s">
        <v>38</v>
      </c>
      <c r="B17" s="3"/>
      <c r="C17" s="3"/>
      <c r="D17" s="3"/>
    </row>
    <row r="18" spans="1:4" x14ac:dyDescent="0.2">
      <c r="A18" t="s">
        <v>39</v>
      </c>
      <c r="B18" s="4">
        <v>20</v>
      </c>
      <c r="C18" t="s">
        <v>40</v>
      </c>
      <c r="D18" t="s">
        <v>10</v>
      </c>
    </row>
    <row r="19" spans="1:4" x14ac:dyDescent="0.2">
      <c r="A19" t="s">
        <v>41</v>
      </c>
      <c r="B19" s="5">
        <v>8800</v>
      </c>
      <c r="C19" t="s">
        <v>42</v>
      </c>
      <c r="D19" t="s">
        <v>43</v>
      </c>
    </row>
    <row r="20" spans="1:4" x14ac:dyDescent="0.2">
      <c r="A20" t="s">
        <v>44</v>
      </c>
      <c r="B20" s="9">
        <v>2.5</v>
      </c>
      <c r="C20" t="s">
        <v>45</v>
      </c>
      <c r="D20" t="s">
        <v>46</v>
      </c>
    </row>
    <row r="21" spans="1:4" x14ac:dyDescent="0.2">
      <c r="A21" t="s">
        <v>47</v>
      </c>
      <c r="B21" s="5">
        <v>880</v>
      </c>
      <c r="C21" t="s">
        <v>48</v>
      </c>
      <c r="D21" t="s">
        <v>49</v>
      </c>
    </row>
    <row r="22" spans="1:4" x14ac:dyDescent="0.2">
      <c r="A22" t="s">
        <v>50</v>
      </c>
      <c r="B22" s="10">
        <v>0.1</v>
      </c>
      <c r="C22" t="s">
        <v>51</v>
      </c>
      <c r="D22" t="s">
        <v>52</v>
      </c>
    </row>
    <row r="23" spans="1:4" x14ac:dyDescent="0.2">
      <c r="A23" t="s">
        <v>53</v>
      </c>
      <c r="B23" s="4">
        <v>20</v>
      </c>
      <c r="C23" t="s">
        <v>54</v>
      </c>
      <c r="D23" t="s">
        <v>10</v>
      </c>
    </row>
    <row r="24" spans="1:4" x14ac:dyDescent="0.2">
      <c r="A24" t="s">
        <v>55</v>
      </c>
      <c r="B24" s="5">
        <v>2094</v>
      </c>
      <c r="C24" t="s">
        <v>56</v>
      </c>
      <c r="D24" t="s">
        <v>43</v>
      </c>
    </row>
    <row r="25" spans="1:4" x14ac:dyDescent="0.2">
      <c r="A25" t="s">
        <v>57</v>
      </c>
      <c r="B25" s="11">
        <f>hrs_t/3</f>
        <v>0.83333333333333337</v>
      </c>
      <c r="C25" t="s">
        <v>58</v>
      </c>
      <c r="D25" t="s">
        <v>46</v>
      </c>
    </row>
    <row r="26" spans="1:4" x14ac:dyDescent="0.2">
      <c r="A26" t="s">
        <v>59</v>
      </c>
      <c r="B26" s="5">
        <v>440</v>
      </c>
      <c r="C26" t="s">
        <v>60</v>
      </c>
      <c r="D26" t="s">
        <v>49</v>
      </c>
    </row>
    <row r="27" spans="1:4" x14ac:dyDescent="0.2">
      <c r="A27" t="s">
        <v>61</v>
      </c>
      <c r="B27" s="10">
        <v>2.5000000000000001E-2</v>
      </c>
      <c r="C27" t="s">
        <v>62</v>
      </c>
      <c r="D27" t="s">
        <v>52</v>
      </c>
    </row>
    <row r="28" spans="1:4" x14ac:dyDescent="0.2">
      <c r="A28" t="s">
        <v>63</v>
      </c>
      <c r="B28" s="4">
        <v>30</v>
      </c>
      <c r="C28" t="s">
        <v>64</v>
      </c>
      <c r="D28" t="s">
        <v>10</v>
      </c>
    </row>
    <row r="29" spans="1:4" x14ac:dyDescent="0.2">
      <c r="A29" t="s">
        <v>65</v>
      </c>
      <c r="B29" s="5">
        <v>2700</v>
      </c>
      <c r="C29" t="s">
        <v>66</v>
      </c>
      <c r="D29" t="s">
        <v>43</v>
      </c>
    </row>
    <row r="30" spans="1:4" x14ac:dyDescent="0.2">
      <c r="A30" t="s">
        <v>67</v>
      </c>
      <c r="B30" s="11">
        <f>hrs_t/2</f>
        <v>1.25</v>
      </c>
      <c r="C30" t="s">
        <v>68</v>
      </c>
      <c r="D30" t="s">
        <v>46</v>
      </c>
    </row>
    <row r="31" spans="1:4" x14ac:dyDescent="0.2">
      <c r="A31" t="s">
        <v>69</v>
      </c>
      <c r="B31" s="5">
        <v>880</v>
      </c>
      <c r="C31" t="s">
        <v>70</v>
      </c>
      <c r="D31" t="s">
        <v>49</v>
      </c>
    </row>
    <row r="32" spans="1:4" x14ac:dyDescent="0.2">
      <c r="A32" t="s">
        <v>71</v>
      </c>
      <c r="B32" s="10">
        <v>1.2500000000000001E-2</v>
      </c>
      <c r="C32" t="s">
        <v>72</v>
      </c>
      <c r="D32" t="s">
        <v>52</v>
      </c>
    </row>
    <row r="34" spans="1:4" x14ac:dyDescent="0.2">
      <c r="A34" s="2" t="s">
        <v>73</v>
      </c>
      <c r="B34" s="3"/>
      <c r="C34" s="3"/>
      <c r="D34" s="3"/>
    </row>
    <row r="35" spans="1:4" x14ac:dyDescent="0.2">
      <c r="A35" t="s">
        <v>74</v>
      </c>
      <c r="B35" s="12">
        <v>10</v>
      </c>
      <c r="C35" t="s">
        <v>75</v>
      </c>
      <c r="D35" t="s">
        <v>76</v>
      </c>
    </row>
    <row r="36" spans="1:4" x14ac:dyDescent="0.2">
      <c r="A36" t="s">
        <v>77</v>
      </c>
      <c r="B36" s="12">
        <v>20</v>
      </c>
      <c r="C36" t="s">
        <v>78</v>
      </c>
      <c r="D36" t="s">
        <v>76</v>
      </c>
    </row>
    <row r="37" spans="1:4" x14ac:dyDescent="0.2">
      <c r="A37" t="s">
        <v>79</v>
      </c>
      <c r="B37" s="12">
        <v>30</v>
      </c>
      <c r="C37" t="s">
        <v>80</v>
      </c>
      <c r="D37" t="s">
        <v>76</v>
      </c>
    </row>
    <row r="38" spans="1:4" x14ac:dyDescent="0.2">
      <c r="A38" t="s">
        <v>81</v>
      </c>
      <c r="B38">
        <f>q_tomato+q_carrot+q_mesclun</f>
        <v>60</v>
      </c>
      <c r="C38" t="s">
        <v>82</v>
      </c>
      <c r="D38" t="s">
        <v>10</v>
      </c>
    </row>
    <row r="40" spans="1:4" x14ac:dyDescent="0.2">
      <c r="A40" s="2" t="s">
        <v>83</v>
      </c>
      <c r="B40" s="3"/>
      <c r="C40" s="3"/>
      <c r="D40" s="3"/>
    </row>
    <row r="41" spans="1:4" x14ac:dyDescent="0.2">
      <c r="A41" t="s">
        <v>84</v>
      </c>
      <c r="B41" s="13">
        <f>q_tomato*hrs_t*weeks*(1+dim_t)^q_tomato</f>
        <v>2334.3682140900019</v>
      </c>
      <c r="C41" t="s">
        <v>85</v>
      </c>
      <c r="D41" t="s">
        <v>21</v>
      </c>
    </row>
    <row r="42" spans="1:4" x14ac:dyDescent="0.2">
      <c r="A42" t="s">
        <v>86</v>
      </c>
      <c r="B42" s="13">
        <f>q_carrot*hrs_c*weeks*(1+dim_c)^q_carrot</f>
        <v>983.16986417423732</v>
      </c>
      <c r="C42" t="s">
        <v>87</v>
      </c>
      <c r="D42" t="s">
        <v>21</v>
      </c>
    </row>
    <row r="43" spans="1:4" x14ac:dyDescent="0.2">
      <c r="A43" t="s">
        <v>88</v>
      </c>
      <c r="B43" s="13">
        <f>q_mesclun*hrs_m*weeks*(1+dim_m)^q_mesclun</f>
        <v>1959.6780360096488</v>
      </c>
      <c r="C43" t="s">
        <v>89</v>
      </c>
      <c r="D43" t="s">
        <v>21</v>
      </c>
    </row>
    <row r="44" spans="1:4" x14ac:dyDescent="0.2">
      <c r="A44" t="s">
        <v>90</v>
      </c>
      <c r="B44" s="13">
        <f>labor_hrs_t+labor_hrs_c+labor_hrs_m</f>
        <v>5277.2161142738878</v>
      </c>
      <c r="C44" t="s">
        <v>91</v>
      </c>
      <c r="D44" t="s">
        <v>92</v>
      </c>
    </row>
    <row r="45" spans="1:4" x14ac:dyDescent="0.2">
      <c r="A45" t="s">
        <v>93</v>
      </c>
      <c r="B45" s="13">
        <f>MIN(total_hrs,perm_field_hrs)</f>
        <v>720</v>
      </c>
      <c r="C45" t="s">
        <v>94</v>
      </c>
      <c r="D45" t="s">
        <v>92</v>
      </c>
    </row>
    <row r="46" spans="1:4" x14ac:dyDescent="0.2">
      <c r="A46" t="s">
        <v>95</v>
      </c>
      <c r="B46" s="13">
        <f>MAX(0,total_hrs-perm_field_hrs)</f>
        <v>4557.2161142738878</v>
      </c>
      <c r="C46" t="s">
        <v>96</v>
      </c>
      <c r="D46" t="s">
        <v>92</v>
      </c>
    </row>
    <row r="47" spans="1:4" x14ac:dyDescent="0.2">
      <c r="A47" t="s">
        <v>97</v>
      </c>
      <c r="B47" s="14">
        <f>temp_hrs/temp_hrs_per_worker</f>
        <v>3.1647334126901998</v>
      </c>
      <c r="C47" t="s">
        <v>98</v>
      </c>
      <c r="D47" t="s">
        <v>99</v>
      </c>
    </row>
    <row r="48" spans="1:4" x14ac:dyDescent="0.2">
      <c r="A48" t="s">
        <v>100</v>
      </c>
      <c r="B48" s="15">
        <f>perm_used*perm_rate+temp_hrs*temp_rate</f>
        <v>104118.335317255</v>
      </c>
      <c r="C48" t="s">
        <v>101</v>
      </c>
      <c r="D48" t="s">
        <v>102</v>
      </c>
    </row>
    <row r="49" spans="1:4" x14ac:dyDescent="0.2">
      <c r="A49" t="s">
        <v>103</v>
      </c>
      <c r="B49" s="8">
        <f>IF(total_hrs=0,0,labor_cost/total_hrs)</f>
        <v>19.729784239010844</v>
      </c>
      <c r="C49" t="s">
        <v>104</v>
      </c>
      <c r="D49" t="s">
        <v>26</v>
      </c>
    </row>
    <row r="51" spans="1:4" x14ac:dyDescent="0.2">
      <c r="A51" s="2" t="s">
        <v>105</v>
      </c>
      <c r="B51" s="3"/>
      <c r="C51" s="3"/>
      <c r="D51" s="3"/>
    </row>
    <row r="52" spans="1:4" x14ac:dyDescent="0.2">
      <c r="A52" t="s">
        <v>106</v>
      </c>
      <c r="B52" s="15">
        <f>q_tomato*price_t</f>
        <v>88000</v>
      </c>
      <c r="C52" t="s">
        <v>107</v>
      </c>
      <c r="D52" t="s">
        <v>102</v>
      </c>
    </row>
    <row r="53" spans="1:4" x14ac:dyDescent="0.2">
      <c r="A53" t="s">
        <v>108</v>
      </c>
      <c r="B53" s="15">
        <f>q_tomato*fert_t</f>
        <v>8800</v>
      </c>
      <c r="C53" t="s">
        <v>109</v>
      </c>
      <c r="D53" t="s">
        <v>102</v>
      </c>
    </row>
    <row r="54" spans="1:4" x14ac:dyDescent="0.2">
      <c r="A54" t="s">
        <v>110</v>
      </c>
      <c r="B54" s="15">
        <f>labor_hrs_t*blended_rate</f>
        <v>46056.581198400811</v>
      </c>
      <c r="C54" t="s">
        <v>111</v>
      </c>
      <c r="D54" t="s">
        <v>102</v>
      </c>
    </row>
    <row r="55" spans="1:4" x14ac:dyDescent="0.2">
      <c r="A55" t="s">
        <v>112</v>
      </c>
      <c r="B55" s="15">
        <f>q_carrot*price_c</f>
        <v>41880</v>
      </c>
      <c r="C55" t="s">
        <v>113</v>
      </c>
      <c r="D55" t="s">
        <v>102</v>
      </c>
    </row>
    <row r="56" spans="1:4" x14ac:dyDescent="0.2">
      <c r="A56" t="s">
        <v>114</v>
      </c>
      <c r="B56" s="15">
        <f>q_carrot*fert_c</f>
        <v>8800</v>
      </c>
      <c r="C56" t="s">
        <v>115</v>
      </c>
      <c r="D56" t="s">
        <v>102</v>
      </c>
    </row>
    <row r="57" spans="1:4" x14ac:dyDescent="0.2">
      <c r="A57" t="s">
        <v>116</v>
      </c>
      <c r="B57" s="15">
        <f>labor_hrs_c*blended_rate</f>
        <v>19397.7292904553</v>
      </c>
      <c r="C57" t="s">
        <v>117</v>
      </c>
      <c r="D57" t="s">
        <v>102</v>
      </c>
    </row>
    <row r="58" spans="1:4" x14ac:dyDescent="0.2">
      <c r="A58" t="s">
        <v>118</v>
      </c>
      <c r="B58" s="15">
        <f>q_mesclun*price_m</f>
        <v>81000</v>
      </c>
      <c r="C58" t="s">
        <v>119</v>
      </c>
      <c r="D58" t="s">
        <v>102</v>
      </c>
    </row>
    <row r="59" spans="1:4" x14ac:dyDescent="0.2">
      <c r="A59" t="s">
        <v>120</v>
      </c>
      <c r="B59" s="15">
        <f>q_mesclun*fert_m</f>
        <v>26400</v>
      </c>
      <c r="C59" t="s">
        <v>121</v>
      </c>
      <c r="D59" t="s">
        <v>102</v>
      </c>
    </row>
    <row r="60" spans="1:4" x14ac:dyDescent="0.2">
      <c r="A60" t="s">
        <v>122</v>
      </c>
      <c r="B60" s="15">
        <f>labor_hrs_m*blended_rate</f>
        <v>38664.024828398891</v>
      </c>
      <c r="C60" t="s">
        <v>123</v>
      </c>
      <c r="D60" t="s">
        <v>102</v>
      </c>
    </row>
    <row r="62" spans="1:4" x14ac:dyDescent="0.2">
      <c r="A62" s="2" t="s">
        <v>124</v>
      </c>
      <c r="B62" s="3"/>
      <c r="C62" s="3"/>
      <c r="D62" s="3"/>
    </row>
    <row r="63" spans="1:4" x14ac:dyDescent="0.2">
      <c r="A63" t="s">
        <v>125</v>
      </c>
      <c r="B63" s="16">
        <f>(revenue_t+revenue_c+revenue_m)-labor_cost-(fert_cost_t+fert_cost_c+fert_cost_m)-fixed_cost</f>
        <v>42761.664682745002</v>
      </c>
      <c r="C63" t="s">
        <v>126</v>
      </c>
      <c r="D63" t="s">
        <v>127</v>
      </c>
    </row>
    <row r="65" spans="1:4" x14ac:dyDescent="0.2">
      <c r="A65" s="2" t="s">
        <v>128</v>
      </c>
      <c r="B65" s="3"/>
      <c r="C65" s="3"/>
      <c r="D65" s="3"/>
    </row>
    <row r="66" spans="1:4" x14ac:dyDescent="0.2">
      <c r="A66" t="s">
        <v>129</v>
      </c>
      <c r="B66" s="14">
        <f>1*hrs_t*weeks*(1+dim_t)^1</f>
        <v>99.000000000000014</v>
      </c>
      <c r="C66" t="s">
        <v>130</v>
      </c>
      <c r="D66" t="s">
        <v>92</v>
      </c>
    </row>
    <row r="67" spans="1:4" x14ac:dyDescent="0.2">
      <c r="A67" t="s">
        <v>131</v>
      </c>
      <c r="B67" t="b">
        <f>ABS(labor_hrs_t_q1-99)&lt;=0.01</f>
        <v>1</v>
      </c>
    </row>
    <row r="68" spans="1:4" x14ac:dyDescent="0.2">
      <c r="A68" t="s">
        <v>132</v>
      </c>
      <c r="B68" t="b">
        <f>ABS(q_tomato-10)&lt;=0</f>
        <v>1</v>
      </c>
    </row>
    <row r="69" spans="1:4" x14ac:dyDescent="0.2">
      <c r="A69" t="s">
        <v>133</v>
      </c>
      <c r="B69" t="b">
        <f>ABS(q_carrot-20)&lt;=0</f>
        <v>1</v>
      </c>
    </row>
    <row r="70" spans="1:4" x14ac:dyDescent="0.2">
      <c r="A70" t="s">
        <v>134</v>
      </c>
      <c r="B70" t="b">
        <f>ABS(q_mesclun-30)&lt;=0</f>
        <v>1</v>
      </c>
    </row>
    <row r="71" spans="1:4" x14ac:dyDescent="0.2">
      <c r="A71" t="s">
        <v>135</v>
      </c>
      <c r="B71" t="b">
        <f>ABS(profit_total-42762)&lt;=1</f>
        <v>1</v>
      </c>
    </row>
    <row r="72" spans="1:4" x14ac:dyDescent="0.2">
      <c r="A72" t="s">
        <v>136</v>
      </c>
      <c r="B72" t="b">
        <f>q_tomato&lt;=cap_t</f>
        <v>1</v>
      </c>
    </row>
    <row r="73" spans="1:4" x14ac:dyDescent="0.2">
      <c r="A73" t="s">
        <v>137</v>
      </c>
      <c r="B73" t="b">
        <f>q_carrot&lt;=cap_c</f>
        <v>1</v>
      </c>
    </row>
    <row r="74" spans="1:4" x14ac:dyDescent="0.2">
      <c r="A74" t="s">
        <v>138</v>
      </c>
      <c r="B74" t="b">
        <f>q_mesclun&lt;=cap_m</f>
        <v>1</v>
      </c>
    </row>
    <row r="75" spans="1:4" x14ac:dyDescent="0.2">
      <c r="A75" t="s">
        <v>139</v>
      </c>
      <c r="B75" t="b">
        <f>beds_total&lt;=beds_max</f>
        <v>1</v>
      </c>
    </row>
    <row r="76" spans="1:4" x14ac:dyDescent="0.2">
      <c r="A76" t="s">
        <v>140</v>
      </c>
      <c r="B76" t="b">
        <f>temp_workers&lt;=temp_max</f>
        <v>1</v>
      </c>
    </row>
    <row r="77" spans="1:4" x14ac:dyDescent="0.2">
      <c r="A77" t="s">
        <v>141</v>
      </c>
      <c r="B77" t="b">
        <f>AND(q_tomato=INT(q_tomato),q_carrot=INT(q_carrot),q_mesclun=INT(q_mesclun))</f>
        <v>1</v>
      </c>
    </row>
    <row r="78" spans="1:4" x14ac:dyDescent="0.2">
      <c r="A78" t="s">
        <v>142</v>
      </c>
      <c r="B78" t="b">
        <f>SUMPRODUCT(--ISERROR($B$1:$B$65))=0</f>
        <v>1</v>
      </c>
    </row>
    <row r="79" spans="1:4" x14ac:dyDescent="0.2">
      <c r="A79" s="17" t="s">
        <v>143</v>
      </c>
      <c r="B79" t="b">
        <f>AND(B67:B78)</f>
        <v>1</v>
      </c>
      <c r="C79" t="s">
        <v>144</v>
      </c>
    </row>
    <row r="81" spans="1:4" x14ac:dyDescent="0.2">
      <c r="A81" s="2" t="s">
        <v>145</v>
      </c>
      <c r="B81" s="3"/>
      <c r="C81" s="3"/>
      <c r="D81" s="3"/>
    </row>
    <row r="82" spans="1:4" x14ac:dyDescent="0.2">
      <c r="A82" t="s">
        <v>146</v>
      </c>
      <c r="D82" s="12"/>
    </row>
  </sheetData>
  <conditionalFormatting sqref="B67:B79">
    <cfRule type="expression" dxfId="1" priority="1">
      <formula>B67=TRUE</formula>
    </cfRule>
    <cfRule type="expression" dxfId="0" priority="2">
      <formula>B67=FALSE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53</vt:i4>
      </vt:variant>
    </vt:vector>
  </HeadingPairs>
  <TitlesOfParts>
    <vt:vector size="54" baseType="lpstr">
      <vt:lpstr>Model</vt:lpstr>
      <vt:lpstr>all_checks</vt:lpstr>
      <vt:lpstr>beds_max</vt:lpstr>
      <vt:lpstr>beds_total</vt:lpstr>
      <vt:lpstr>blended_rate</vt:lpstr>
      <vt:lpstr>cap_c</vt:lpstr>
      <vt:lpstr>cap_m</vt:lpstr>
      <vt:lpstr>cap_t</vt:lpstr>
      <vt:lpstr>dim_c</vt:lpstr>
      <vt:lpstr>dim_m</vt:lpstr>
      <vt:lpstr>dim_t</vt:lpstr>
      <vt:lpstr>fert_c</vt:lpstr>
      <vt:lpstr>fert_cost_c</vt:lpstr>
      <vt:lpstr>fert_cost_m</vt:lpstr>
      <vt:lpstr>fert_cost_t</vt:lpstr>
      <vt:lpstr>fert_m</vt:lpstr>
      <vt:lpstr>fert_t</vt:lpstr>
      <vt:lpstr>field_share</vt:lpstr>
      <vt:lpstr>fixed_cost</vt:lpstr>
      <vt:lpstr>hrs_c</vt:lpstr>
      <vt:lpstr>hrs_m</vt:lpstr>
      <vt:lpstr>hrs_per_wk</vt:lpstr>
      <vt:lpstr>hrs_t</vt:lpstr>
      <vt:lpstr>labor_cost</vt:lpstr>
      <vt:lpstr>labor_cost_c</vt:lpstr>
      <vt:lpstr>labor_cost_m</vt:lpstr>
      <vt:lpstr>labor_cost_t</vt:lpstr>
      <vt:lpstr>labor_hrs_c</vt:lpstr>
      <vt:lpstr>labor_hrs_m</vt:lpstr>
      <vt:lpstr>labor_hrs_t</vt:lpstr>
      <vt:lpstr>labor_hrs_t_q1</vt:lpstr>
      <vt:lpstr>owner_paid_hrs</vt:lpstr>
      <vt:lpstr>owner_pay</vt:lpstr>
      <vt:lpstr>perm_field_hrs</vt:lpstr>
      <vt:lpstr>perm_rate</vt:lpstr>
      <vt:lpstr>perm_used</vt:lpstr>
      <vt:lpstr>price_c</vt:lpstr>
      <vt:lpstr>price_m</vt:lpstr>
      <vt:lpstr>price_t</vt:lpstr>
      <vt:lpstr>profit_total</vt:lpstr>
      <vt:lpstr>q_carrot</vt:lpstr>
      <vt:lpstr>q_mesclun</vt:lpstr>
      <vt:lpstr>q_tomato</vt:lpstr>
      <vt:lpstr>revenue_c</vt:lpstr>
      <vt:lpstr>revenue_m</vt:lpstr>
      <vt:lpstr>revenue_t</vt:lpstr>
      <vt:lpstr>temp_hrs</vt:lpstr>
      <vt:lpstr>temp_hrs_per_worker</vt:lpstr>
      <vt:lpstr>temp_max</vt:lpstr>
      <vt:lpstr>temp_pay</vt:lpstr>
      <vt:lpstr>temp_rate</vt:lpstr>
      <vt:lpstr>temp_workers</vt:lpstr>
      <vt:lpstr>total_hrs</vt:lpstr>
      <vt:lpstr>weeks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Joshua Burkhart</cp:lastModifiedBy>
  <dcterms:created xsi:type="dcterms:W3CDTF">2026-10-17T09:58:11Z</dcterms:created>
  <dcterms:modified xsi:type="dcterms:W3CDTF">2026-10-17T10:05:54Z</dcterms:modified>
</cp:coreProperties>
</file>