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urkhart/Software/joshua-burkhart/capabilities/marginal-analysis/"/>
    </mc:Choice>
  </mc:AlternateContent>
  <xr:revisionPtr revIDLastSave="0" documentId="13_ncr:1_{685004C6-4808-234C-A0A4-22898EDE76DC}" xr6:coauthVersionLast="47" xr6:coauthVersionMax="47" xr10:uidLastSave="{00000000-0000-0000-0000-000000000000}"/>
  <bookViews>
    <workbookView xWindow="14240" yWindow="2540" windowWidth="19360" windowHeight="18460" xr2:uid="{00000000-000D-0000-FFFF-FFFF00000000}"/>
  </bookViews>
  <sheets>
    <sheet name="Model" sheetId="1" r:id="rId1"/>
    <sheet name="Schedules" sheetId="2" r:id="rId2"/>
  </sheets>
  <definedNames>
    <definedName name="all_checks">Model!$B$83</definedName>
    <definedName name="beds_max">Model!$B$5</definedName>
    <definedName name="beds_total">Model!$B$38</definedName>
    <definedName name="blended_rate">Model!$B$49</definedName>
    <definedName name="cap_c">Model!$B$23</definedName>
    <definedName name="cap_m">Model!$B$28</definedName>
    <definedName name="cap_t">Model!$B$18</definedName>
    <definedName name="cross_c">Schedules!$G$51</definedName>
    <definedName name="cross_m">Schedules!$G$86</definedName>
    <definedName name="cross_t">Schedules!$G$26</definedName>
    <definedName name="dim_c">Model!$B$27</definedName>
    <definedName name="dim_m">Model!$B$32</definedName>
    <definedName name="dim_t">Model!$B$22</definedName>
    <definedName name="fert_c">Model!$B$26</definedName>
    <definedName name="fert_cost_c">Model!$B$56</definedName>
    <definedName name="fert_cost_m">Model!$B$59</definedName>
    <definedName name="fert_cost_t">Model!$B$53</definedName>
    <definedName name="fert_m">Model!$B$31</definedName>
    <definedName name="fert_t">Model!$B$21</definedName>
    <definedName name="field_share">Model!$B$8</definedName>
    <definedName name="fixed_cost">Model!$B$4</definedName>
    <definedName name="hrs_c">Model!$B$25</definedName>
    <definedName name="hrs_m">Model!$B$30</definedName>
    <definedName name="hrs_per_wk">Model!$B$7</definedName>
    <definedName name="hrs_t">Model!$B$20</definedName>
    <definedName name="labor_cost">Model!$B$48</definedName>
    <definedName name="labor_cost_c">Model!$B$57</definedName>
    <definedName name="labor_cost_m">Model!$B$60</definedName>
    <definedName name="labor_cost_t">Model!$B$54</definedName>
    <definedName name="labor_hrs_c">Model!$B$42</definedName>
    <definedName name="labor_hrs_m">Model!$B$43</definedName>
    <definedName name="labor_hrs_t">Model!$B$41</definedName>
    <definedName name="labor_hrs_t_q1">Model!$B$66</definedName>
    <definedName name="owner_paid_hrs">Model!$B$9</definedName>
    <definedName name="owner_pay">Model!$B$6</definedName>
    <definedName name="perm_field_hrs">Model!$B$10</definedName>
    <definedName name="perm_rate">Model!$B$11</definedName>
    <definedName name="perm_used">Model!$B$45</definedName>
    <definedName name="price_c">Model!$B$24</definedName>
    <definedName name="price_m">Model!$B$29</definedName>
    <definedName name="price_t">Model!$B$19</definedName>
    <definedName name="profit_total">Model!$B$63</definedName>
    <definedName name="q_carrot">Model!$B$36</definedName>
    <definedName name="q_mesclun">Model!$B$37</definedName>
    <definedName name="q_tomato">Model!$B$35</definedName>
    <definedName name="revenue_c">Model!$B$55</definedName>
    <definedName name="revenue_m">Model!$B$58</definedName>
    <definedName name="revenue_t">Model!$B$52</definedName>
    <definedName name="solver_adj" localSheetId="0" hidden="1">Model!$B$35,Model!$B$36,Model!$B$37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Model!$B$38</definedName>
    <definedName name="solver_lhs2" localSheetId="0" hidden="1">Model!$B$36</definedName>
    <definedName name="solver_lhs3" localSheetId="0" hidden="1">Model!$B$36</definedName>
    <definedName name="solver_lhs4" localSheetId="0" hidden="1">Model!$B$37</definedName>
    <definedName name="solver_lhs5" localSheetId="0" hidden="1">Model!$B$37</definedName>
    <definedName name="solver_lhs6" localSheetId="0" hidden="1">Model!$B$35</definedName>
    <definedName name="solver_lhs7" localSheetId="0" hidden="1">Model!$B$35</definedName>
    <definedName name="solver_lhs8" localSheetId="0" hidden="1">Model!$B$47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opt" localSheetId="0" hidden="1">Model!$B$63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4</definedName>
    <definedName name="solver_rel4" localSheetId="0" hidden="1">1</definedName>
    <definedName name="solver_rel5" localSheetId="0" hidden="1">4</definedName>
    <definedName name="solver_rel6" localSheetId="0" hidden="1">1</definedName>
    <definedName name="solver_rel7" localSheetId="0" hidden="1">4</definedName>
    <definedName name="solver_rel8" localSheetId="0" hidden="1">1</definedName>
    <definedName name="solver_rhs1" localSheetId="0" hidden="1">beds_max</definedName>
    <definedName name="solver_rhs2" localSheetId="0" hidden="1">cap_c</definedName>
    <definedName name="solver_rhs3" localSheetId="0" hidden="1">"integer"</definedName>
    <definedName name="solver_rhs4" localSheetId="0" hidden="1">cap_m</definedName>
    <definedName name="solver_rhs5" localSheetId="0" hidden="1">"integer"</definedName>
    <definedName name="solver_rhs6" localSheetId="0" hidden="1">cap_t</definedName>
    <definedName name="solver_rhs7" localSheetId="0" hidden="1">"integer"</definedName>
    <definedName name="solver_rhs8" localSheetId="0" hidden="1">temp_max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emp_hrs">Model!$B$46</definedName>
    <definedName name="temp_hrs_per_worker">Model!$B$14</definedName>
    <definedName name="temp_max">Model!$B$12</definedName>
    <definedName name="temp_pay">Model!$B$13</definedName>
    <definedName name="temp_rate">Model!$B$15</definedName>
    <definedName name="temp_workers">Model!$B$47</definedName>
    <definedName name="total_hrs">Model!$B$44</definedName>
    <definedName name="weeks">Model!$B$3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D96" i="1"/>
  <c r="D95" i="1"/>
  <c r="D94" i="1"/>
  <c r="D93" i="1"/>
  <c r="D92" i="1"/>
  <c r="D91" i="1"/>
  <c r="D90" i="1"/>
  <c r="D89" i="1"/>
  <c r="D88" i="1"/>
  <c r="D87" i="1"/>
  <c r="D86" i="1"/>
  <c r="C53" i="2"/>
  <c r="B47" i="2"/>
  <c r="B43" i="2"/>
  <c r="B39" i="2"/>
  <c r="B35" i="2"/>
  <c r="B31" i="2"/>
  <c r="C28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C3" i="2"/>
  <c r="B77" i="1"/>
  <c r="B74" i="1"/>
  <c r="B73" i="1"/>
  <c r="B72" i="1"/>
  <c r="B70" i="1"/>
  <c r="B69" i="1"/>
  <c r="B68" i="1"/>
  <c r="B66" i="1"/>
  <c r="B67" i="1" s="1"/>
  <c r="B59" i="1"/>
  <c r="B58" i="1"/>
  <c r="B56" i="1"/>
  <c r="B55" i="1"/>
  <c r="B53" i="1"/>
  <c r="B52" i="1"/>
  <c r="B41" i="1"/>
  <c r="B38" i="1"/>
  <c r="B75" i="1" s="1"/>
  <c r="B30" i="1"/>
  <c r="B83" i="2" s="1"/>
  <c r="B25" i="1"/>
  <c r="B48" i="2" s="1"/>
  <c r="B14" i="1"/>
  <c r="B15" i="1" s="1"/>
  <c r="B9" i="1"/>
  <c r="B11" i="1" s="1"/>
  <c r="B58" i="2" l="1"/>
  <c r="C58" i="2" s="1"/>
  <c r="B62" i="2"/>
  <c r="B66" i="2"/>
  <c r="C66" i="2" s="1"/>
  <c r="B70" i="2"/>
  <c r="C70" i="2" s="1"/>
  <c r="B74" i="2"/>
  <c r="B78" i="2"/>
  <c r="C78" i="2" s="1"/>
  <c r="B82" i="2"/>
  <c r="C82" i="2" s="1"/>
  <c r="B34" i="2"/>
  <c r="C34" i="2" s="1"/>
  <c r="B38" i="2"/>
  <c r="C38" i="2" s="1"/>
  <c r="B42" i="2"/>
  <c r="C42" i="2" s="1"/>
  <c r="B46" i="2"/>
  <c r="B50" i="2"/>
  <c r="C50" i="2" s="1"/>
  <c r="B55" i="2"/>
  <c r="B57" i="2"/>
  <c r="B61" i="2"/>
  <c r="B65" i="2"/>
  <c r="C65" i="2" s="1"/>
  <c r="B69" i="2"/>
  <c r="C69" i="2" s="1"/>
  <c r="B73" i="2"/>
  <c r="C73" i="2" s="1"/>
  <c r="B77" i="2"/>
  <c r="B81" i="2"/>
  <c r="C81" i="2" s="1"/>
  <c r="B85" i="2"/>
  <c r="B33" i="2"/>
  <c r="B37" i="2"/>
  <c r="C37" i="2" s="1"/>
  <c r="B41" i="2"/>
  <c r="C41" i="2" s="1"/>
  <c r="B45" i="2"/>
  <c r="B49" i="2"/>
  <c r="C49" i="2" s="1"/>
  <c r="B56" i="2"/>
  <c r="C56" i="2" s="1"/>
  <c r="B60" i="2"/>
  <c r="C60" i="2" s="1"/>
  <c r="B64" i="2"/>
  <c r="C64" i="2" s="1"/>
  <c r="B68" i="2"/>
  <c r="B72" i="2"/>
  <c r="C72" i="2" s="1"/>
  <c r="B76" i="2"/>
  <c r="C76" i="2" s="1"/>
  <c r="B80" i="2"/>
  <c r="B84" i="2"/>
  <c r="C84" i="2" s="1"/>
  <c r="B10" i="1"/>
  <c r="C48" i="2" s="1"/>
  <c r="B42" i="1"/>
  <c r="B43" i="1"/>
  <c r="B30" i="2"/>
  <c r="C30" i="2" s="1"/>
  <c r="B32" i="2"/>
  <c r="B36" i="2"/>
  <c r="C36" i="2" s="1"/>
  <c r="B40" i="2"/>
  <c r="C40" i="2" s="1"/>
  <c r="B44" i="2"/>
  <c r="C44" i="2" s="1"/>
  <c r="B59" i="2"/>
  <c r="C59" i="2" s="1"/>
  <c r="B63" i="2"/>
  <c r="B67" i="2"/>
  <c r="C67" i="2" s="1"/>
  <c r="B71" i="2"/>
  <c r="B75" i="2"/>
  <c r="C75" i="2" s="1"/>
  <c r="B79" i="2"/>
  <c r="C79" i="2" s="1"/>
  <c r="E36" i="2" l="1"/>
  <c r="E41" i="2"/>
  <c r="D41" i="2"/>
  <c r="E34" i="2"/>
  <c r="D34" i="2"/>
  <c r="E72" i="2"/>
  <c r="E82" i="2"/>
  <c r="D82" i="2"/>
  <c r="E78" i="2"/>
  <c r="E64" i="2"/>
  <c r="E81" i="2"/>
  <c r="D81" i="2"/>
  <c r="E70" i="2"/>
  <c r="D70" i="2"/>
  <c r="E56" i="2"/>
  <c r="D56" i="2"/>
  <c r="E73" i="2"/>
  <c r="D73" i="2"/>
  <c r="E79" i="2"/>
  <c r="D79" i="2"/>
  <c r="E76" i="2"/>
  <c r="D76" i="2"/>
  <c r="E65" i="2"/>
  <c r="D65" i="2"/>
  <c r="E75" i="2"/>
  <c r="E37" i="2"/>
  <c r="D37" i="2"/>
  <c r="E67" i="2"/>
  <c r="D67" i="2"/>
  <c r="E60" i="2"/>
  <c r="D60" i="2"/>
  <c r="E50" i="2"/>
  <c r="D50" i="2"/>
  <c r="E59" i="2"/>
  <c r="D59" i="2"/>
  <c r="E48" i="2"/>
  <c r="E66" i="2"/>
  <c r="D66" i="2"/>
  <c r="D44" i="2"/>
  <c r="E44" i="2"/>
  <c r="E84" i="2"/>
  <c r="D84" i="2"/>
  <c r="E49" i="2"/>
  <c r="D49" i="2"/>
  <c r="E42" i="2"/>
  <c r="D42" i="2"/>
  <c r="E40" i="2"/>
  <c r="E69" i="2"/>
  <c r="D69" i="2"/>
  <c r="E38" i="2"/>
  <c r="D38" i="2"/>
  <c r="E58" i="2"/>
  <c r="C16" i="2"/>
  <c r="C7" i="2"/>
  <c r="C46" i="2"/>
  <c r="C77" i="2"/>
  <c r="C33" i="2"/>
  <c r="C68" i="2"/>
  <c r="C21" i="2"/>
  <c r="C20" i="2"/>
  <c r="C62" i="2"/>
  <c r="C11" i="2"/>
  <c r="C25" i="2"/>
  <c r="C63" i="2"/>
  <c r="C24" i="2"/>
  <c r="C15" i="2"/>
  <c r="C55" i="2"/>
  <c r="C85" i="2"/>
  <c r="C39" i="2"/>
  <c r="C14" i="2"/>
  <c r="C9" i="2"/>
  <c r="C31" i="2"/>
  <c r="C19" i="2"/>
  <c r="C6" i="2"/>
  <c r="C80" i="2"/>
  <c r="C32" i="2"/>
  <c r="C71" i="2"/>
  <c r="D72" i="2" s="1"/>
  <c r="C35" i="2"/>
  <c r="C23" i="2"/>
  <c r="C10" i="2"/>
  <c r="C8" i="2"/>
  <c r="C43" i="2"/>
  <c r="C18" i="2"/>
  <c r="C13" i="2"/>
  <c r="C83" i="2"/>
  <c r="C57" i="2"/>
  <c r="C45" i="2"/>
  <c r="C74" i="2"/>
  <c r="D75" i="2" s="1"/>
  <c r="C61" i="2"/>
  <c r="B44" i="1"/>
  <c r="C12" i="2"/>
  <c r="C47" i="2"/>
  <c r="C5" i="2"/>
  <c r="C22" i="2"/>
  <c r="C17" i="2"/>
  <c r="G72" i="2" l="1"/>
  <c r="F72" i="2"/>
  <c r="G75" i="2"/>
  <c r="F75" i="2"/>
  <c r="E45" i="2"/>
  <c r="D45" i="2"/>
  <c r="E47" i="2"/>
  <c r="D47" i="2"/>
  <c r="E10" i="2"/>
  <c r="D10" i="2"/>
  <c r="E63" i="2"/>
  <c r="D63" i="2"/>
  <c r="E77" i="2"/>
  <c r="D77" i="2"/>
  <c r="G69" i="2"/>
  <c r="F69" i="2"/>
  <c r="G84" i="2"/>
  <c r="F84" i="2"/>
  <c r="G59" i="2"/>
  <c r="F59" i="2"/>
  <c r="F37" i="2"/>
  <c r="G37" i="2"/>
  <c r="G79" i="2"/>
  <c r="F79" i="2"/>
  <c r="G81" i="2"/>
  <c r="F81" i="2"/>
  <c r="E57" i="2"/>
  <c r="D57" i="2"/>
  <c r="E23" i="2"/>
  <c r="D23" i="2"/>
  <c r="D9" i="2"/>
  <c r="E9" i="2"/>
  <c r="D25" i="2"/>
  <c r="E25" i="2"/>
  <c r="E46" i="2"/>
  <c r="D46" i="2"/>
  <c r="D12" i="2"/>
  <c r="E12" i="2"/>
  <c r="E83" i="2"/>
  <c r="D83" i="2"/>
  <c r="E35" i="2"/>
  <c r="D35" i="2"/>
  <c r="E14" i="2"/>
  <c r="D14" i="2"/>
  <c r="E11" i="2"/>
  <c r="D11" i="2"/>
  <c r="E7" i="2"/>
  <c r="D7" i="2"/>
  <c r="G50" i="2"/>
  <c r="F50" i="2"/>
  <c r="G73" i="2"/>
  <c r="F73" i="2"/>
  <c r="D64" i="2"/>
  <c r="G34" i="2"/>
  <c r="F34" i="2"/>
  <c r="E31" i="2"/>
  <c r="D31" i="2"/>
  <c r="B45" i="1"/>
  <c r="B46" i="1"/>
  <c r="B47" i="1" s="1"/>
  <c r="B76" i="1" s="1"/>
  <c r="D13" i="2"/>
  <c r="E13" i="2"/>
  <c r="E71" i="2"/>
  <c r="D71" i="2"/>
  <c r="E39" i="2"/>
  <c r="D39" i="2"/>
  <c r="E62" i="2"/>
  <c r="D62" i="2"/>
  <c r="E18" i="2"/>
  <c r="D18" i="2"/>
  <c r="D20" i="2"/>
  <c r="E20" i="2"/>
  <c r="G42" i="2"/>
  <c r="F42" i="2"/>
  <c r="G66" i="2"/>
  <c r="F66" i="2"/>
  <c r="G65" i="2"/>
  <c r="F65" i="2"/>
  <c r="G56" i="2"/>
  <c r="F56" i="2"/>
  <c r="F41" i="2"/>
  <c r="G41" i="2"/>
  <c r="E43" i="2"/>
  <c r="D43" i="2"/>
  <c r="D21" i="2"/>
  <c r="E21" i="2"/>
  <c r="D17" i="2"/>
  <c r="E17" i="2"/>
  <c r="E61" i="2"/>
  <c r="D61" i="2"/>
  <c r="D8" i="2"/>
  <c r="E8" i="2"/>
  <c r="E6" i="2"/>
  <c r="D6" i="2"/>
  <c r="E15" i="2"/>
  <c r="D15" i="2"/>
  <c r="E68" i="2"/>
  <c r="D68" i="2"/>
  <c r="G38" i="2"/>
  <c r="F38" i="2"/>
  <c r="F49" i="2"/>
  <c r="G49" i="2"/>
  <c r="G67" i="2"/>
  <c r="F67" i="2"/>
  <c r="G76" i="2"/>
  <c r="F76" i="2"/>
  <c r="G70" i="2"/>
  <c r="F70" i="2"/>
  <c r="G82" i="2"/>
  <c r="F82" i="2"/>
  <c r="D16" i="2"/>
  <c r="E16" i="2"/>
  <c r="D40" i="2"/>
  <c r="G44" i="2"/>
  <c r="F44" i="2"/>
  <c r="D32" i="2"/>
  <c r="E32" i="2"/>
  <c r="E85" i="2"/>
  <c r="D85" i="2"/>
  <c r="D58" i="2"/>
  <c r="G60" i="2"/>
  <c r="F60" i="2"/>
  <c r="D78" i="2"/>
  <c r="E80" i="2"/>
  <c r="D80" i="2"/>
  <c r="E22" i="2"/>
  <c r="D22" i="2"/>
  <c r="E74" i="2"/>
  <c r="D74" i="2"/>
  <c r="E19" i="2"/>
  <c r="D19" i="2"/>
  <c r="E24" i="2"/>
  <c r="D24" i="2"/>
  <c r="E33" i="2"/>
  <c r="D33" i="2"/>
  <c r="D48" i="2"/>
  <c r="D36" i="2"/>
  <c r="G83" i="2" l="1"/>
  <c r="F83" i="2"/>
  <c r="G47" i="2"/>
  <c r="F47" i="2"/>
  <c r="F9" i="2"/>
  <c r="G9" i="2"/>
  <c r="G80" i="2"/>
  <c r="F80" i="2"/>
  <c r="F21" i="2"/>
  <c r="G21" i="2"/>
  <c r="F13" i="2"/>
  <c r="G13" i="2"/>
  <c r="G11" i="2"/>
  <c r="F11" i="2"/>
  <c r="G23" i="2"/>
  <c r="F23" i="2"/>
  <c r="G77" i="2"/>
  <c r="F77" i="2"/>
  <c r="F45" i="2"/>
  <c r="G45" i="2"/>
  <c r="F22" i="2"/>
  <c r="G22" i="2"/>
  <c r="G16" i="2"/>
  <c r="F16" i="2"/>
  <c r="F17" i="2"/>
  <c r="G17" i="2"/>
  <c r="G7" i="2"/>
  <c r="F7" i="2"/>
  <c r="F8" i="2"/>
  <c r="G8" i="2"/>
  <c r="G46" i="2"/>
  <c r="F46" i="2"/>
  <c r="G57" i="2"/>
  <c r="G86" i="2" s="1"/>
  <c r="B81" i="1" s="1"/>
  <c r="F57" i="2"/>
  <c r="G68" i="2"/>
  <c r="F68" i="2"/>
  <c r="G39" i="2"/>
  <c r="F39" i="2"/>
  <c r="G85" i="2"/>
  <c r="F85" i="2"/>
  <c r="G20" i="2"/>
  <c r="F20" i="2"/>
  <c r="F6" i="2"/>
  <c r="G6" i="2"/>
  <c r="G19" i="2"/>
  <c r="F19" i="2"/>
  <c r="G62" i="2"/>
  <c r="F62" i="2"/>
  <c r="G64" i="2"/>
  <c r="F64" i="2"/>
  <c r="G12" i="2"/>
  <c r="F12" i="2"/>
  <c r="G78" i="2"/>
  <c r="F78" i="2"/>
  <c r="B48" i="1"/>
  <c r="F14" i="2"/>
  <c r="G14" i="2"/>
  <c r="G63" i="2"/>
  <c r="F63" i="2"/>
  <c r="G36" i="2"/>
  <c r="F36" i="2"/>
  <c r="G74" i="2"/>
  <c r="F74" i="2"/>
  <c r="G40" i="2"/>
  <c r="F40" i="2"/>
  <c r="G31" i="2"/>
  <c r="F31" i="2"/>
  <c r="G35" i="2"/>
  <c r="F35" i="2"/>
  <c r="F10" i="2"/>
  <c r="G10" i="2"/>
  <c r="G24" i="2"/>
  <c r="F24" i="2"/>
  <c r="F18" i="2"/>
  <c r="G18" i="2"/>
  <c r="G32" i="2"/>
  <c r="F32" i="2"/>
  <c r="G43" i="2"/>
  <c r="F43" i="2"/>
  <c r="G61" i="2"/>
  <c r="F61" i="2"/>
  <c r="G48" i="2"/>
  <c r="F48" i="2"/>
  <c r="F33" i="2"/>
  <c r="G33" i="2"/>
  <c r="G58" i="2"/>
  <c r="F58" i="2"/>
  <c r="G15" i="2"/>
  <c r="F15" i="2"/>
  <c r="G71" i="2"/>
  <c r="F71" i="2"/>
  <c r="G25" i="2"/>
  <c r="F25" i="2"/>
  <c r="G51" i="2" l="1"/>
  <c r="B80" i="1" s="1"/>
  <c r="G26" i="2"/>
  <c r="B79" i="1" s="1"/>
  <c r="B63" i="1"/>
  <c r="B71" i="1" s="1"/>
  <c r="B49" i="1"/>
  <c r="B54" i="1" l="1"/>
  <c r="B60" i="1"/>
  <c r="B57" i="1"/>
  <c r="B82" i="1"/>
  <c r="B78" i="1" l="1"/>
  <c r="B83" i="1" s="1"/>
</calcChain>
</file>

<file path=xl/sharedStrings.xml><?xml version="1.0" encoding="utf-8"?>
<sst xmlns="http://schemas.openxmlformats.org/spreadsheetml/2006/main" count="212" uniqueCount="163">
  <si>
    <t>INPUTS — the farm (case givens)</t>
  </si>
  <si>
    <t>Season length</t>
  </si>
  <si>
    <t>weeks</t>
  </si>
  <si>
    <t>weeks per season</t>
  </si>
  <si>
    <t>Fixed costs</t>
  </si>
  <si>
    <t>fixed_cost</t>
  </si>
  <si>
    <t>USD per season</t>
  </si>
  <si>
    <t>Beds available, all crops</t>
  </si>
  <si>
    <t>beds_max</t>
  </si>
  <si>
    <t>beds</t>
  </si>
  <si>
    <t>Owner pay</t>
  </si>
  <si>
    <t>owner_pay</t>
  </si>
  <si>
    <t>Paid hours per week</t>
  </si>
  <si>
    <t>hrs_per_wk</t>
  </si>
  <si>
    <t>hours per week</t>
  </si>
  <si>
    <t>Owner field share</t>
  </si>
  <si>
    <t>field_share</t>
  </si>
  <si>
    <t>share of paid hours</t>
  </si>
  <si>
    <t>Owner paid hours</t>
  </si>
  <si>
    <t>owner_paid_hrs</t>
  </si>
  <si>
    <t>hours per season</t>
  </si>
  <si>
    <t>Owner field hours</t>
  </si>
  <si>
    <t>perm_field_hrs</t>
  </si>
  <si>
    <t>Owner implied rate</t>
  </si>
  <si>
    <t>perm_rate</t>
  </si>
  <si>
    <t>USD per hour</t>
  </si>
  <si>
    <t>Temporary workers (max)</t>
  </si>
  <si>
    <t>temp_max</t>
  </si>
  <si>
    <t>workers</t>
  </si>
  <si>
    <t>Temp pay per worker</t>
  </si>
  <si>
    <t>temp_pay</t>
  </si>
  <si>
    <t>USD per worker per season</t>
  </si>
  <si>
    <t>Temp hours per worker</t>
  </si>
  <si>
    <t>temp_hrs_per_worker</t>
  </si>
  <si>
    <t>field hours per worker</t>
  </si>
  <si>
    <t>Temp rate</t>
  </si>
  <si>
    <t>temp_rate</t>
  </si>
  <si>
    <t>INPUTS — crops (case givens)</t>
  </si>
  <si>
    <t>Tomatoes: bed cap</t>
  </si>
  <si>
    <t>cap_t</t>
  </si>
  <si>
    <t>Tomatoes: price</t>
  </si>
  <si>
    <t>price_t</t>
  </si>
  <si>
    <t>USD revenue per bed per season</t>
  </si>
  <si>
    <t>Tomatoes: field hrs/wk/bed</t>
  </si>
  <si>
    <t>hrs_t</t>
  </si>
  <si>
    <t>hours per week per bed</t>
  </si>
  <si>
    <t>Tomatoes: fertilizer</t>
  </si>
  <si>
    <t>fert_t</t>
  </si>
  <si>
    <t>USD per bed per season</t>
  </si>
  <si>
    <t>Tomatoes: diminishing returns</t>
  </si>
  <si>
    <t>dim_t</t>
  </si>
  <si>
    <t>share per bed</t>
  </si>
  <si>
    <t>Carrots: bed cap</t>
  </si>
  <si>
    <t>cap_c</t>
  </si>
  <si>
    <t>Carrots: price</t>
  </si>
  <si>
    <t>price_c</t>
  </si>
  <si>
    <t>Carrots: field hrs/wk/bed</t>
  </si>
  <si>
    <t>hrs_c</t>
  </si>
  <si>
    <t>Carrots: fertilizer</t>
  </si>
  <si>
    <t>fert_c</t>
  </si>
  <si>
    <t>Carrots: diminishing returns</t>
  </si>
  <si>
    <t>dim_c</t>
  </si>
  <si>
    <t>Mesclun: bed cap</t>
  </si>
  <si>
    <t>cap_m</t>
  </si>
  <si>
    <t>Mesclun: price</t>
  </si>
  <si>
    <t>price_m</t>
  </si>
  <si>
    <t>Mesclun: field hrs/wk/bed</t>
  </si>
  <si>
    <t>hrs_m</t>
  </si>
  <si>
    <t>Mesclun: fertilizer</t>
  </si>
  <si>
    <t>fert_m</t>
  </si>
  <si>
    <t>Mesclun: diminishing returns</t>
  </si>
  <si>
    <t>dim_m</t>
  </si>
  <si>
    <t>DECISION — beds to plant (Solver changing cells)</t>
  </si>
  <si>
    <t>Tomatoes beds</t>
  </si>
  <si>
    <t>q_tomato</t>
  </si>
  <si>
    <t>decision cell, whole number</t>
  </si>
  <si>
    <t>Carrots beds</t>
  </si>
  <si>
    <t>q_carrot</t>
  </si>
  <si>
    <t>Mesclun beds</t>
  </si>
  <si>
    <t>q_mesclun</t>
  </si>
  <si>
    <t>Beds planted</t>
  </si>
  <si>
    <t>beds_total</t>
  </si>
  <si>
    <t>LABOR</t>
  </si>
  <si>
    <t>Tomatoes labor hours</t>
  </si>
  <si>
    <t>labor_hrs_t</t>
  </si>
  <si>
    <t>Carrots labor hours</t>
  </si>
  <si>
    <t>labor_hrs_c</t>
  </si>
  <si>
    <t>Mesclun labor hours</t>
  </si>
  <si>
    <t>labor_hrs_m</t>
  </si>
  <si>
    <t>Total hours</t>
  </si>
  <si>
    <t>total_hrs</t>
  </si>
  <si>
    <t>hours</t>
  </si>
  <si>
    <t>Owner hours used</t>
  </si>
  <si>
    <t>perm_used</t>
  </si>
  <si>
    <t>Temp hours</t>
  </si>
  <si>
    <t>temp_hrs</t>
  </si>
  <si>
    <t>Temp workers</t>
  </si>
  <si>
    <t>temp_workers</t>
  </si>
  <si>
    <t>workers (fractional)</t>
  </si>
  <si>
    <t>Labor cost</t>
  </si>
  <si>
    <t>labor_cost</t>
  </si>
  <si>
    <t>USD</t>
  </si>
  <si>
    <t>Blended rate</t>
  </si>
  <si>
    <t>blended_rate</t>
  </si>
  <si>
    <t>FARM P&amp;L</t>
  </si>
  <si>
    <t>Tomatoes revenue</t>
  </si>
  <si>
    <t>revenue_t</t>
  </si>
  <si>
    <t>Tomatoes fertilizer</t>
  </si>
  <si>
    <t>fert_cost_t</t>
  </si>
  <si>
    <t>Tomatoes labor cost</t>
  </si>
  <si>
    <t>labor_cost_t</t>
  </si>
  <si>
    <t>Carrots revenue</t>
  </si>
  <si>
    <t>revenue_c</t>
  </si>
  <si>
    <t>Carrots fertilizer</t>
  </si>
  <si>
    <t>fert_cost_c</t>
  </si>
  <si>
    <t>Carrots labor cost</t>
  </si>
  <si>
    <t>labor_cost_c</t>
  </si>
  <si>
    <t>Mesclun revenue</t>
  </si>
  <si>
    <t>revenue_m</t>
  </si>
  <si>
    <t>Mesclun fertilizer</t>
  </si>
  <si>
    <t>fert_cost_m</t>
  </si>
  <si>
    <t>Mesclun labor cost</t>
  </si>
  <si>
    <t>labor_cost_m</t>
  </si>
  <si>
    <t>PROFIT (Solver objective)</t>
  </si>
  <si>
    <t>Profit</t>
  </si>
  <si>
    <t>profit_total</t>
  </si>
  <si>
    <t>USD — maximize</t>
  </si>
  <si>
    <t>CHECKS — TRUE is green, FALSE is red (spec: Validation rules)</t>
  </si>
  <si>
    <t>Tomato hours at q = 1</t>
  </si>
  <si>
    <t>labor_hrs_t_q1</t>
  </si>
  <si>
    <t>Hand check q = 1: ABS(hours − 99.0) &lt;= 0.01</t>
  </si>
  <si>
    <t>Tomatoes = 10: ABS(q − 10) &lt;= 0</t>
  </si>
  <si>
    <t>Carrots = 20: ABS(q − 20) &lt;= 0</t>
  </si>
  <si>
    <t>Mesclun = 30: ABS(q − 30) &lt;= 0</t>
  </si>
  <si>
    <t>Profit: ABS(profit − 42,762) &lt;= $1</t>
  </si>
  <si>
    <t>Tomatoes within cap</t>
  </si>
  <si>
    <t>Carrots within cap</t>
  </si>
  <si>
    <t>Mesclun within cap</t>
  </si>
  <si>
    <t>Total beds within beds_max</t>
  </si>
  <si>
    <t>Temp workers within temp_max</t>
  </si>
  <si>
    <t>Bed counts are whole numbers</t>
  </si>
  <si>
    <t>No error cells</t>
  </si>
  <si>
    <t>Tomato crossing: ABS(cross_t − 10) &lt;= 1</t>
  </si>
  <si>
    <t>Carrot crossing: ABS(cross_c − 10) &lt;= 1</t>
  </si>
  <si>
    <t>Mesclun crossing: ABS(cross_m − 6) &lt;= 1</t>
  </si>
  <si>
    <t>No error cells in Schedules</t>
  </si>
  <si>
    <t>All checks pass</t>
  </si>
  <si>
    <t>all_checks</t>
  </si>
  <si>
    <t>SOLVER MODEL — use Load/Save → Save into D below</t>
  </si>
  <si>
    <t>Saved Solver model goes in column D starting here</t>
  </si>
  <si>
    <t>Standalone marginal-cost schedules — each crop planted alone, owner hours first</t>
  </si>
  <si>
    <t>Tomatoes — price</t>
  </si>
  <si>
    <t>q</t>
  </si>
  <si>
    <t>Hours</t>
  </si>
  <si>
    <t>VC</t>
  </si>
  <si>
    <t>MC</t>
  </si>
  <si>
    <t>AVC</t>
  </si>
  <si>
    <t>MC &lt;= P</t>
  </si>
  <si>
    <t>MC &gt; P</t>
  </si>
  <si>
    <t>Standalone crossing (last q before MC first exceeds price)</t>
  </si>
  <si>
    <t>Carrots — price</t>
  </si>
  <si>
    <t>Mesclun — price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</si>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</sst>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00"/>
    <numFmt numFmtId="167" formatCode="#,##0.0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9" fontId="0" fillId="3" borderId="0" xfId="0" applyNumberFormat="1" applyFill="1"/>
    <xf numFmtId="3" fontId="0" fillId="0" borderId="0" xfId="0" applyNumberFormat="1"/>
    <xf numFmtId="165" fontId="0" fillId="0" borderId="0" xfId="0" applyNumberFormat="1"/>
    <xf numFmtId="166" fontId="0" fillId="3" borderId="0" xfId="0" applyNumberFormat="1" applyFill="1"/>
    <xf numFmtId="10" fontId="0" fillId="3" borderId="0" xfId="0" applyNumberFormat="1" applyFill="1"/>
    <xf numFmtId="166" fontId="0" fillId="0" borderId="0" xfId="0" applyNumberFormat="1"/>
    <xf numFmtId="0" fontId="0" fillId="4" borderId="0" xfId="0" applyFill="1"/>
    <xf numFmtId="167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5" borderId="0" xfId="0" applyNumberFormat="1" applyFill="1"/>
    <xf numFmtId="0" fontId="2" fillId="0" borderId="0" xfId="0" applyFont="1"/>
    <xf numFmtId="165" fontId="0" fillId="4" borderId="0" xfId="0" applyNumberFormat="1" applyFill="1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57" workbookViewId="0">
      <selection activeCell="D68" sqref="D68"/>
    </sheetView>
  </sheetViews>
  <sheetFormatPr baseColWidth="10" defaultColWidth="8.83203125" defaultRowHeight="15" x14ac:dyDescent="0.2"/>
  <cols>
    <col min="1" max="1" width="44" customWidth="1"/>
    <col min="2" max="2" width="16" customWidth="1"/>
    <col min="3" max="3" width="22" customWidth="1"/>
    <col min="4" max="4" width="40" customWidth="1"/>
  </cols>
  <sheetData>
    <row r="1" spans="1:4" ht="17" x14ac:dyDescent="0.2">
      <c r="A1" s="1" t="s">
        <v>162</v>
      </c>
    </row>
    <row r="2" spans="1:4" x14ac:dyDescent="0.2">
      <c r="A2" s="2" t="s">
        <v>0</v>
      </c>
      <c r="B2" s="3"/>
      <c r="C2" s="3"/>
      <c r="D2" s="3"/>
    </row>
    <row r="3" spans="1:4" x14ac:dyDescent="0.2">
      <c r="A3" t="s">
        <v>1</v>
      </c>
      <c r="B3" s="4">
        <v>36</v>
      </c>
      <c r="C3" t="s">
        <v>2</v>
      </c>
      <c r="D3" t="s">
        <v>3</v>
      </c>
    </row>
    <row r="4" spans="1:4" x14ac:dyDescent="0.2">
      <c r="A4" t="s">
        <v>4</v>
      </c>
      <c r="B4" s="5">
        <v>20000</v>
      </c>
      <c r="C4" t="s">
        <v>5</v>
      </c>
      <c r="D4" t="s">
        <v>6</v>
      </c>
    </row>
    <row r="5" spans="1:4" x14ac:dyDescent="0.2">
      <c r="A5" t="s">
        <v>7</v>
      </c>
      <c r="B5" s="4">
        <v>64</v>
      </c>
      <c r="C5" t="s">
        <v>8</v>
      </c>
      <c r="D5" t="s">
        <v>9</v>
      </c>
    </row>
    <row r="6" spans="1:4" x14ac:dyDescent="0.2">
      <c r="A6" t="s">
        <v>10</v>
      </c>
      <c r="B6" s="5">
        <v>50000</v>
      </c>
      <c r="C6" t="s">
        <v>11</v>
      </c>
      <c r="D6" t="s">
        <v>6</v>
      </c>
    </row>
    <row r="7" spans="1:4" x14ac:dyDescent="0.2">
      <c r="A7" t="s">
        <v>12</v>
      </c>
      <c r="B7" s="4">
        <v>40</v>
      </c>
      <c r="C7" t="s">
        <v>13</v>
      </c>
      <c r="D7" t="s">
        <v>14</v>
      </c>
    </row>
    <row r="8" spans="1:4" x14ac:dyDescent="0.2">
      <c r="A8" t="s">
        <v>15</v>
      </c>
      <c r="B8" s="6">
        <v>0.5</v>
      </c>
      <c r="C8" t="s">
        <v>16</v>
      </c>
      <c r="D8" t="s">
        <v>17</v>
      </c>
    </row>
    <row r="9" spans="1:4" x14ac:dyDescent="0.2">
      <c r="A9" t="s">
        <v>18</v>
      </c>
      <c r="B9" s="7">
        <f>hrs_per_wk*weeks</f>
        <v>1440</v>
      </c>
      <c r="C9" t="s">
        <v>19</v>
      </c>
      <c r="D9" t="s">
        <v>20</v>
      </c>
    </row>
    <row r="10" spans="1:4" x14ac:dyDescent="0.2">
      <c r="A10" t="s">
        <v>21</v>
      </c>
      <c r="B10" s="7">
        <f>owner_paid_hrs*field_share</f>
        <v>720</v>
      </c>
      <c r="C10" t="s">
        <v>22</v>
      </c>
      <c r="D10" t="s">
        <v>20</v>
      </c>
    </row>
    <row r="11" spans="1:4" x14ac:dyDescent="0.2">
      <c r="A11" t="s">
        <v>23</v>
      </c>
      <c r="B11" s="8">
        <f>owner_pay/owner_paid_hrs</f>
        <v>34.722222222222221</v>
      </c>
      <c r="C11" t="s">
        <v>24</v>
      </c>
      <c r="D11" t="s">
        <v>25</v>
      </c>
    </row>
    <row r="12" spans="1:4" x14ac:dyDescent="0.2">
      <c r="A12" t="s">
        <v>26</v>
      </c>
      <c r="B12" s="4">
        <v>4</v>
      </c>
      <c r="C12" t="s">
        <v>27</v>
      </c>
      <c r="D12" t="s">
        <v>28</v>
      </c>
    </row>
    <row r="13" spans="1:4" x14ac:dyDescent="0.2">
      <c r="A13" t="s">
        <v>29</v>
      </c>
      <c r="B13" s="5">
        <v>25000</v>
      </c>
      <c r="C13" t="s">
        <v>30</v>
      </c>
      <c r="D13" t="s">
        <v>31</v>
      </c>
    </row>
    <row r="14" spans="1:4" x14ac:dyDescent="0.2">
      <c r="A14" t="s">
        <v>32</v>
      </c>
      <c r="B14" s="7">
        <f>hrs_per_wk*weeks</f>
        <v>1440</v>
      </c>
      <c r="C14" t="s">
        <v>33</v>
      </c>
      <c r="D14" t="s">
        <v>34</v>
      </c>
    </row>
    <row r="15" spans="1:4" x14ac:dyDescent="0.2">
      <c r="A15" t="s">
        <v>35</v>
      </c>
      <c r="B15" s="8">
        <f>temp_pay/temp_hrs_per_worker</f>
        <v>17.361111111111111</v>
      </c>
      <c r="C15" t="s">
        <v>36</v>
      </c>
      <c r="D15" t="s">
        <v>25</v>
      </c>
    </row>
    <row r="17" spans="1:4" x14ac:dyDescent="0.2">
      <c r="A17" s="2" t="s">
        <v>37</v>
      </c>
      <c r="B17" s="3"/>
      <c r="C17" s="3"/>
      <c r="D17" s="3"/>
    </row>
    <row r="18" spans="1:4" x14ac:dyDescent="0.2">
      <c r="A18" t="s">
        <v>38</v>
      </c>
      <c r="B18" s="4">
        <v>20</v>
      </c>
      <c r="C18" t="s">
        <v>39</v>
      </c>
      <c r="D18" t="s">
        <v>9</v>
      </c>
    </row>
    <row r="19" spans="1:4" x14ac:dyDescent="0.2">
      <c r="A19" t="s">
        <v>40</v>
      </c>
      <c r="B19" s="5">
        <v>8800</v>
      </c>
      <c r="C19" t="s">
        <v>41</v>
      </c>
      <c r="D19" t="s">
        <v>42</v>
      </c>
    </row>
    <row r="20" spans="1:4" x14ac:dyDescent="0.2">
      <c r="A20" t="s">
        <v>43</v>
      </c>
      <c r="B20" s="9">
        <v>2.5</v>
      </c>
      <c r="C20" t="s">
        <v>44</v>
      </c>
      <c r="D20" t="s">
        <v>45</v>
      </c>
    </row>
    <row r="21" spans="1:4" x14ac:dyDescent="0.2">
      <c r="A21" t="s">
        <v>46</v>
      </c>
      <c r="B21" s="5">
        <v>880</v>
      </c>
      <c r="C21" t="s">
        <v>47</v>
      </c>
      <c r="D21" t="s">
        <v>48</v>
      </c>
    </row>
    <row r="22" spans="1:4" x14ac:dyDescent="0.2">
      <c r="A22" t="s">
        <v>49</v>
      </c>
      <c r="B22" s="10">
        <v>0.1</v>
      </c>
      <c r="C22" t="s">
        <v>50</v>
      </c>
      <c r="D22" t="s">
        <v>51</v>
      </c>
    </row>
    <row r="23" spans="1:4" x14ac:dyDescent="0.2">
      <c r="A23" t="s">
        <v>52</v>
      </c>
      <c r="B23" s="4">
        <v>20</v>
      </c>
      <c r="C23" t="s">
        <v>53</v>
      </c>
      <c r="D23" t="s">
        <v>9</v>
      </c>
    </row>
    <row r="24" spans="1:4" x14ac:dyDescent="0.2">
      <c r="A24" t="s">
        <v>54</v>
      </c>
      <c r="B24" s="5">
        <v>2094</v>
      </c>
      <c r="C24" t="s">
        <v>55</v>
      </c>
      <c r="D24" t="s">
        <v>42</v>
      </c>
    </row>
    <row r="25" spans="1:4" x14ac:dyDescent="0.2">
      <c r="A25" t="s">
        <v>56</v>
      </c>
      <c r="B25" s="11">
        <f>hrs_t/3</f>
        <v>0.83333333333333337</v>
      </c>
      <c r="C25" t="s">
        <v>57</v>
      </c>
      <c r="D25" t="s">
        <v>45</v>
      </c>
    </row>
    <row r="26" spans="1:4" x14ac:dyDescent="0.2">
      <c r="A26" t="s">
        <v>58</v>
      </c>
      <c r="B26" s="5">
        <v>440</v>
      </c>
      <c r="C26" t="s">
        <v>59</v>
      </c>
      <c r="D26" t="s">
        <v>48</v>
      </c>
    </row>
    <row r="27" spans="1:4" x14ac:dyDescent="0.2">
      <c r="A27" t="s">
        <v>60</v>
      </c>
      <c r="B27" s="10">
        <v>2.5000000000000001E-2</v>
      </c>
      <c r="C27" t="s">
        <v>61</v>
      </c>
      <c r="D27" t="s">
        <v>51</v>
      </c>
    </row>
    <row r="28" spans="1:4" x14ac:dyDescent="0.2">
      <c r="A28" t="s">
        <v>62</v>
      </c>
      <c r="B28" s="4">
        <v>30</v>
      </c>
      <c r="C28" t="s">
        <v>63</v>
      </c>
      <c r="D28" t="s">
        <v>9</v>
      </c>
    </row>
    <row r="29" spans="1:4" x14ac:dyDescent="0.2">
      <c r="A29" t="s">
        <v>64</v>
      </c>
      <c r="B29" s="5">
        <v>2700</v>
      </c>
      <c r="C29" t="s">
        <v>65</v>
      </c>
      <c r="D29" t="s">
        <v>42</v>
      </c>
    </row>
    <row r="30" spans="1:4" x14ac:dyDescent="0.2">
      <c r="A30" t="s">
        <v>66</v>
      </c>
      <c r="B30" s="11">
        <f>hrs_t/2</f>
        <v>1.25</v>
      </c>
      <c r="C30" t="s">
        <v>67</v>
      </c>
      <c r="D30" t="s">
        <v>45</v>
      </c>
    </row>
    <row r="31" spans="1:4" x14ac:dyDescent="0.2">
      <c r="A31" t="s">
        <v>68</v>
      </c>
      <c r="B31" s="5">
        <v>880</v>
      </c>
      <c r="C31" t="s">
        <v>69</v>
      </c>
      <c r="D31" t="s">
        <v>48</v>
      </c>
    </row>
    <row r="32" spans="1:4" x14ac:dyDescent="0.2">
      <c r="A32" t="s">
        <v>70</v>
      </c>
      <c r="B32" s="10">
        <v>1.2500000000000001E-2</v>
      </c>
      <c r="C32" t="s">
        <v>71</v>
      </c>
      <c r="D32" t="s">
        <v>51</v>
      </c>
    </row>
    <row r="34" spans="1:4" x14ac:dyDescent="0.2">
      <c r="A34" s="2" t="s">
        <v>72</v>
      </c>
      <c r="B34" s="3"/>
      <c r="C34" s="3"/>
      <c r="D34" s="3"/>
    </row>
    <row r="35" spans="1:4" x14ac:dyDescent="0.2">
      <c r="A35" t="s">
        <v>73</v>
      </c>
      <c r="B35" s="12">
        <v>10</v>
      </c>
      <c r="C35" t="s">
        <v>74</v>
      </c>
      <c r="D35" t="s">
        <v>75</v>
      </c>
    </row>
    <row r="36" spans="1:4" x14ac:dyDescent="0.2">
      <c r="A36" t="s">
        <v>76</v>
      </c>
      <c r="B36" s="12">
        <v>20</v>
      </c>
      <c r="C36" t="s">
        <v>77</v>
      </c>
      <c r="D36" t="s">
        <v>75</v>
      </c>
    </row>
    <row r="37" spans="1:4" x14ac:dyDescent="0.2">
      <c r="A37" t="s">
        <v>78</v>
      </c>
      <c r="B37" s="12">
        <v>30</v>
      </c>
      <c r="C37" t="s">
        <v>79</v>
      </c>
      <c r="D37" t="s">
        <v>75</v>
      </c>
    </row>
    <row r="38" spans="1:4" x14ac:dyDescent="0.2">
      <c r="A38" t="s">
        <v>80</v>
      </c>
      <c r="B38">
        <f>q_tomato+q_carrot+q_mesclun</f>
        <v>60</v>
      </c>
      <c r="C38" t="s">
        <v>81</v>
      </c>
      <c r="D38" t="s">
        <v>9</v>
      </c>
    </row>
    <row r="40" spans="1:4" x14ac:dyDescent="0.2">
      <c r="A40" s="2" t="s">
        <v>82</v>
      </c>
      <c r="B40" s="3"/>
      <c r="C40" s="3"/>
      <c r="D40" s="3"/>
    </row>
    <row r="41" spans="1:4" x14ac:dyDescent="0.2">
      <c r="A41" t="s">
        <v>83</v>
      </c>
      <c r="B41" s="13">
        <f>q_tomato*hrs_t*weeks*(1+dim_t)^q_tomato</f>
        <v>2334.3682140900019</v>
      </c>
      <c r="C41" t="s">
        <v>84</v>
      </c>
      <c r="D41" t="s">
        <v>20</v>
      </c>
    </row>
    <row r="42" spans="1:4" x14ac:dyDescent="0.2">
      <c r="A42" t="s">
        <v>85</v>
      </c>
      <c r="B42" s="13">
        <f>q_carrot*hrs_c*weeks*(1+dim_c)^q_carrot</f>
        <v>983.16986417423732</v>
      </c>
      <c r="C42" t="s">
        <v>86</v>
      </c>
      <c r="D42" t="s">
        <v>20</v>
      </c>
    </row>
    <row r="43" spans="1:4" x14ac:dyDescent="0.2">
      <c r="A43" t="s">
        <v>87</v>
      </c>
      <c r="B43" s="13">
        <f>q_mesclun*hrs_m*weeks*(1+dim_m)^q_mesclun</f>
        <v>1959.6780360096488</v>
      </c>
      <c r="C43" t="s">
        <v>88</v>
      </c>
      <c r="D43" t="s">
        <v>20</v>
      </c>
    </row>
    <row r="44" spans="1:4" x14ac:dyDescent="0.2">
      <c r="A44" t="s">
        <v>89</v>
      </c>
      <c r="B44" s="13">
        <f>labor_hrs_t+labor_hrs_c+labor_hrs_m</f>
        <v>5277.2161142738878</v>
      </c>
      <c r="C44" t="s">
        <v>90</v>
      </c>
      <c r="D44" t="s">
        <v>91</v>
      </c>
    </row>
    <row r="45" spans="1:4" x14ac:dyDescent="0.2">
      <c r="A45" t="s">
        <v>92</v>
      </c>
      <c r="B45" s="13">
        <f>MIN(total_hrs,perm_field_hrs)</f>
        <v>720</v>
      </c>
      <c r="C45" t="s">
        <v>93</v>
      </c>
      <c r="D45" t="s">
        <v>91</v>
      </c>
    </row>
    <row r="46" spans="1:4" x14ac:dyDescent="0.2">
      <c r="A46" t="s">
        <v>94</v>
      </c>
      <c r="B46" s="13">
        <f>MAX(0,total_hrs-perm_field_hrs)</f>
        <v>4557.2161142738878</v>
      </c>
      <c r="C46" t="s">
        <v>95</v>
      </c>
      <c r="D46" t="s">
        <v>91</v>
      </c>
    </row>
    <row r="47" spans="1:4" x14ac:dyDescent="0.2">
      <c r="A47" t="s">
        <v>96</v>
      </c>
      <c r="B47" s="14">
        <f>temp_hrs/temp_hrs_per_worker</f>
        <v>3.1647334126901998</v>
      </c>
      <c r="C47" t="s">
        <v>97</v>
      </c>
      <c r="D47" t="s">
        <v>98</v>
      </c>
    </row>
    <row r="48" spans="1:4" x14ac:dyDescent="0.2">
      <c r="A48" t="s">
        <v>99</v>
      </c>
      <c r="B48" s="15">
        <f>perm_used*perm_rate+temp_hrs*temp_rate</f>
        <v>104118.335317255</v>
      </c>
      <c r="C48" t="s">
        <v>100</v>
      </c>
      <c r="D48" t="s">
        <v>101</v>
      </c>
    </row>
    <row r="49" spans="1:4" x14ac:dyDescent="0.2">
      <c r="A49" t="s">
        <v>102</v>
      </c>
      <c r="B49" s="8">
        <f>IF(total_hrs=0,0,labor_cost/total_hrs)</f>
        <v>19.729784239010844</v>
      </c>
      <c r="C49" t="s">
        <v>103</v>
      </c>
      <c r="D49" t="s">
        <v>25</v>
      </c>
    </row>
    <row r="51" spans="1:4" x14ac:dyDescent="0.2">
      <c r="A51" s="2" t="s">
        <v>104</v>
      </c>
      <c r="B51" s="3"/>
      <c r="C51" s="3"/>
      <c r="D51" s="3"/>
    </row>
    <row r="52" spans="1:4" x14ac:dyDescent="0.2">
      <c r="A52" t="s">
        <v>105</v>
      </c>
      <c r="B52" s="15">
        <f>q_tomato*price_t</f>
        <v>88000</v>
      </c>
      <c r="C52" t="s">
        <v>106</v>
      </c>
      <c r="D52" t="s">
        <v>101</v>
      </c>
    </row>
    <row r="53" spans="1:4" x14ac:dyDescent="0.2">
      <c r="A53" t="s">
        <v>107</v>
      </c>
      <c r="B53" s="15">
        <f>q_tomato*fert_t</f>
        <v>8800</v>
      </c>
      <c r="C53" t="s">
        <v>108</v>
      </c>
      <c r="D53" t="s">
        <v>101</v>
      </c>
    </row>
    <row r="54" spans="1:4" x14ac:dyDescent="0.2">
      <c r="A54" t="s">
        <v>109</v>
      </c>
      <c r="B54" s="15">
        <f>labor_hrs_t*blended_rate</f>
        <v>46056.581198400811</v>
      </c>
      <c r="C54" t="s">
        <v>110</v>
      </c>
      <c r="D54" t="s">
        <v>101</v>
      </c>
    </row>
    <row r="55" spans="1:4" x14ac:dyDescent="0.2">
      <c r="A55" t="s">
        <v>111</v>
      </c>
      <c r="B55" s="15">
        <f>q_carrot*price_c</f>
        <v>41880</v>
      </c>
      <c r="C55" t="s">
        <v>112</v>
      </c>
      <c r="D55" t="s">
        <v>101</v>
      </c>
    </row>
    <row r="56" spans="1:4" x14ac:dyDescent="0.2">
      <c r="A56" t="s">
        <v>113</v>
      </c>
      <c r="B56" s="15">
        <f>q_carrot*fert_c</f>
        <v>8800</v>
      </c>
      <c r="C56" t="s">
        <v>114</v>
      </c>
      <c r="D56" t="s">
        <v>101</v>
      </c>
    </row>
    <row r="57" spans="1:4" x14ac:dyDescent="0.2">
      <c r="A57" t="s">
        <v>115</v>
      </c>
      <c r="B57" s="15">
        <f>labor_hrs_c*blended_rate</f>
        <v>19397.7292904553</v>
      </c>
      <c r="C57" t="s">
        <v>116</v>
      </c>
      <c r="D57" t="s">
        <v>101</v>
      </c>
    </row>
    <row r="58" spans="1:4" x14ac:dyDescent="0.2">
      <c r="A58" t="s">
        <v>117</v>
      </c>
      <c r="B58" s="15">
        <f>q_mesclun*price_m</f>
        <v>81000</v>
      </c>
      <c r="C58" t="s">
        <v>118</v>
      </c>
      <c r="D58" t="s">
        <v>101</v>
      </c>
    </row>
    <row r="59" spans="1:4" x14ac:dyDescent="0.2">
      <c r="A59" t="s">
        <v>119</v>
      </c>
      <c r="B59" s="15">
        <f>q_mesclun*fert_m</f>
        <v>26400</v>
      </c>
      <c r="C59" t="s">
        <v>120</v>
      </c>
      <c r="D59" t="s">
        <v>101</v>
      </c>
    </row>
    <row r="60" spans="1:4" x14ac:dyDescent="0.2">
      <c r="A60" t="s">
        <v>121</v>
      </c>
      <c r="B60" s="15">
        <f>labor_hrs_m*blended_rate</f>
        <v>38664.024828398891</v>
      </c>
      <c r="C60" t="s">
        <v>122</v>
      </c>
      <c r="D60" t="s">
        <v>101</v>
      </c>
    </row>
    <row r="62" spans="1:4" x14ac:dyDescent="0.2">
      <c r="A62" s="2" t="s">
        <v>123</v>
      </c>
      <c r="B62" s="3"/>
      <c r="C62" s="3"/>
      <c r="D62" s="3"/>
    </row>
    <row r="63" spans="1:4" x14ac:dyDescent="0.2">
      <c r="A63" t="s">
        <v>124</v>
      </c>
      <c r="B63" s="16">
        <f>(revenue_t+revenue_c+revenue_m)-labor_cost-(fert_cost_t+fert_cost_c+fert_cost_m)-fixed_cost</f>
        <v>42761.664682745002</v>
      </c>
      <c r="C63" t="s">
        <v>125</v>
      </c>
      <c r="D63" t="s">
        <v>126</v>
      </c>
    </row>
    <row r="65" spans="1:4" x14ac:dyDescent="0.2">
      <c r="A65" s="2" t="s">
        <v>127</v>
      </c>
      <c r="B65" s="3"/>
      <c r="C65" s="3"/>
      <c r="D65" s="3"/>
    </row>
    <row r="66" spans="1:4" x14ac:dyDescent="0.2">
      <c r="A66" t="s">
        <v>128</v>
      </c>
      <c r="B66" s="14">
        <f>1*hrs_t*weeks*(1+dim_t)^1</f>
        <v>99.000000000000014</v>
      </c>
      <c r="C66" t="s">
        <v>129</v>
      </c>
      <c r="D66" t="s">
        <v>91</v>
      </c>
    </row>
    <row r="67" spans="1:4" x14ac:dyDescent="0.2">
      <c r="A67" t="s">
        <v>130</v>
      </c>
      <c r="B67" t="b">
        <f>ABS(labor_hrs_t_q1-99)&lt;=0.01</f>
        <v>1</v>
      </c>
    </row>
    <row r="68" spans="1:4" x14ac:dyDescent="0.2">
      <c r="A68" t="s">
        <v>131</v>
      </c>
      <c r="B68" t="b">
        <f>ABS(q_tomato-10)&lt;=0</f>
        <v>1</v>
      </c>
    </row>
    <row r="69" spans="1:4" x14ac:dyDescent="0.2">
      <c r="A69" t="s">
        <v>132</v>
      </c>
      <c r="B69" t="b">
        <f>ABS(q_carrot-20)&lt;=0</f>
        <v>1</v>
      </c>
    </row>
    <row r="70" spans="1:4" x14ac:dyDescent="0.2">
      <c r="A70" t="s">
        <v>133</v>
      </c>
      <c r="B70" t="b">
        <f>ABS(q_mesclun-30)&lt;=0</f>
        <v>1</v>
      </c>
    </row>
    <row r="71" spans="1:4" x14ac:dyDescent="0.2">
      <c r="A71" t="s">
        <v>134</v>
      </c>
      <c r="B71" t="b">
        <f>ABS(profit_total-42762)&lt;=1</f>
        <v>1</v>
      </c>
    </row>
    <row r="72" spans="1:4" x14ac:dyDescent="0.2">
      <c r="A72" t="s">
        <v>135</v>
      </c>
      <c r="B72" t="b">
        <f>q_tomato&lt;=cap_t</f>
        <v>1</v>
      </c>
    </row>
    <row r="73" spans="1:4" x14ac:dyDescent="0.2">
      <c r="A73" t="s">
        <v>136</v>
      </c>
      <c r="B73" t="b">
        <f>q_carrot&lt;=cap_c</f>
        <v>1</v>
      </c>
    </row>
    <row r="74" spans="1:4" x14ac:dyDescent="0.2">
      <c r="A74" t="s">
        <v>137</v>
      </c>
      <c r="B74" t="b">
        <f>q_mesclun&lt;=cap_m</f>
        <v>1</v>
      </c>
    </row>
    <row r="75" spans="1:4" x14ac:dyDescent="0.2">
      <c r="A75" t="s">
        <v>138</v>
      </c>
      <c r="B75" t="b">
        <f>beds_total&lt;=beds_max</f>
        <v>1</v>
      </c>
    </row>
    <row r="76" spans="1:4" x14ac:dyDescent="0.2">
      <c r="A76" t="s">
        <v>139</v>
      </c>
      <c r="B76" t="b">
        <f>temp_workers&lt;=temp_max</f>
        <v>1</v>
      </c>
    </row>
    <row r="77" spans="1:4" x14ac:dyDescent="0.2">
      <c r="A77" t="s">
        <v>140</v>
      </c>
      <c r="B77" t="b">
        <f>AND(q_tomato=INT(q_tomato),q_carrot=INT(q_carrot),q_mesclun=INT(q_mesclun))</f>
        <v>1</v>
      </c>
    </row>
    <row r="78" spans="1:4" x14ac:dyDescent="0.2">
      <c r="A78" t="s">
        <v>141</v>
      </c>
      <c r="B78" t="b">
        <f>SUMPRODUCT(--ISERROR($B$1:$B$65))=0</f>
        <v>1</v>
      </c>
    </row>
    <row r="79" spans="1:4" x14ac:dyDescent="0.2">
      <c r="A79" t="s">
        <v>142</v>
      </c>
      <c r="B79" t="b">
        <f>ABS(cross_t-10)&lt;=1</f>
        <v>1</v>
      </c>
    </row>
    <row r="80" spans="1:4" x14ac:dyDescent="0.2">
      <c r="A80" t="s">
        <v>143</v>
      </c>
      <c r="B80" t="b">
        <f>ABS(cross_c-10)&lt;=1</f>
        <v>1</v>
      </c>
    </row>
    <row r="81" spans="1:4" x14ac:dyDescent="0.2">
      <c r="A81" t="s">
        <v>144</v>
      </c>
      <c r="B81" t="b">
        <f>ABS(cross_m-6)&lt;=1</f>
        <v>1</v>
      </c>
    </row>
    <row r="82" spans="1:4" x14ac:dyDescent="0.2">
      <c r="A82" t="s">
        <v>145</v>
      </c>
      <c r="B82" t="b">
        <f>SUMPRODUCT(--ISERROR(Schedules!$A$1:$G$88))=0</f>
        <v>1</v>
      </c>
    </row>
    <row r="83" spans="1:4" x14ac:dyDescent="0.2">
      <c r="A83" s="17" t="s">
        <v>146</v>
      </c>
      <c r="B83" t="b">
        <f>AND(B67:B82)</f>
        <v>1</v>
      </c>
      <c r="C83" t="s">
        <v>147</v>
      </c>
    </row>
    <row r="85" spans="1:4" x14ac:dyDescent="0.2">
      <c r="A85" s="2" t="s">
        <v>148</v>
      </c>
      <c r="B85" s="3"/>
      <c r="C85" s="3"/>
      <c r="D85" s="3"/>
    </row>
    <row r="86" spans="1:4" x14ac:dyDescent="0.2">
      <c r="A86" t="s">
        <v>149</v>
      </c>
      <c r="D86" s="18">
        <f>MAX($B$63)</f>
        <v>42761.664682745002</v>
      </c>
    </row>
    <row r="87" spans="1:4" x14ac:dyDescent="0.2">
      <c r="D87">
        <f>COUNT($B$35,$B$36,$B$37)</f>
        <v>3</v>
      </c>
    </row>
    <row r="88" spans="1:4" x14ac:dyDescent="0.2">
      <c r="D88" t="b">
        <f>beds_total&lt;=beds_max</f>
        <v>1</v>
      </c>
    </row>
    <row r="89" spans="1:4" x14ac:dyDescent="0.2">
      <c r="D89" t="b">
        <f>q_carrot&lt;=cap_c</f>
        <v>1</v>
      </c>
    </row>
    <row r="90" spans="1:4" x14ac:dyDescent="0.2">
      <c r="D90" t="b">
        <f>$B$36=INT($B$36)</f>
        <v>1</v>
      </c>
    </row>
    <row r="91" spans="1:4" x14ac:dyDescent="0.2">
      <c r="D91" t="b">
        <f>q_mesclun&lt;=cap_m</f>
        <v>1</v>
      </c>
    </row>
    <row r="92" spans="1:4" x14ac:dyDescent="0.2">
      <c r="D92" t="b">
        <f>$B$37=INT($B$37)</f>
        <v>1</v>
      </c>
    </row>
    <row r="93" spans="1:4" x14ac:dyDescent="0.2">
      <c r="D93" t="b">
        <f>q_tomato&lt;=cap_t</f>
        <v>1</v>
      </c>
    </row>
    <row r="94" spans="1:4" x14ac:dyDescent="0.2">
      <c r="D94" t="b">
        <f>$B$35=INT($B$35)</f>
        <v>1</v>
      </c>
    </row>
    <row r="95" spans="1:4" x14ac:dyDescent="0.2">
      <c r="D95" t="b">
        <f>temp_workers&lt;=temp_max</f>
        <v>1</v>
      </c>
    </row>
    <row r="96" spans="1:4" x14ac:dyDescent="0.2">
      <c r="D96">
        <f>{32767,32767,0.000001,0,FALSE,FALSE,TRUE,1,1,1,0.0001,TRUE}</f>
        <v>32767</v>
      </c>
    </row>
    <row r="97" spans="4:4" x14ac:dyDescent="0.2">
      <c r="D97">
        <f>{0,0,0,100,0,FALSE,TRUE,0.075,0,0,FALSE,30}</f>
        <v>0</v>
      </c>
    </row>
  </sheetData>
  <conditionalFormatting sqref="B67:B83">
    <cfRule type="expression" dxfId="1" priority="1">
      <formula>B67=TRUE</formula>
    </cfRule>
    <cfRule type="expression" dxfId="0" priority="2">
      <formula>B67=FALSE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workbookViewId="0"/>
  </sheetViews>
  <sheetFormatPr baseColWidth="10" defaultColWidth="8.83203125" defaultRowHeight="15" x14ac:dyDescent="0.2"/>
  <cols>
    <col min="1" max="1" width="8" customWidth="1"/>
    <col min="2" max="2" width="12" customWidth="1"/>
    <col min="3" max="3" width="14" customWidth="1"/>
    <col min="4" max="7" width="12" customWidth="1"/>
  </cols>
  <sheetData>
    <row r="1" spans="1:7" ht="17" x14ac:dyDescent="0.2">
      <c r="A1" s="1" t="s">
        <v>150</v>
      </c>
    </row>
    <row r="3" spans="1:7" x14ac:dyDescent="0.2">
      <c r="A3" s="17" t="s">
        <v>151</v>
      </c>
      <c r="C3" s="15">
        <f>price_t</f>
        <v>8800</v>
      </c>
    </row>
    <row r="4" spans="1:7" x14ac:dyDescent="0.2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</row>
    <row r="5" spans="1:7" x14ac:dyDescent="0.2">
      <c r="A5">
        <v>0</v>
      </c>
      <c r="B5" s="13">
        <f t="shared" ref="B5:B25" si="0">A5*hrs_t*weeks*(1+dim_t)^A5</f>
        <v>0</v>
      </c>
      <c r="C5" s="15">
        <f t="shared" ref="C5:C25" si="1">MIN(B5,perm_field_hrs)*perm_rate+MAX(0,B5-perm_field_hrs)*temp_rate+A5*fert_t</f>
        <v>0</v>
      </c>
      <c r="D5" s="15"/>
      <c r="E5" s="15"/>
    </row>
    <row r="6" spans="1:7" x14ac:dyDescent="0.2">
      <c r="A6">
        <v>1</v>
      </c>
      <c r="B6" s="13">
        <f t="shared" si="0"/>
        <v>99.000000000000014</v>
      </c>
      <c r="C6" s="15">
        <f t="shared" si="1"/>
        <v>4317.5</v>
      </c>
      <c r="D6" s="15">
        <f t="shared" ref="D6:D25" si="2">C6-C5</f>
        <v>4317.5</v>
      </c>
      <c r="E6" s="15">
        <f t="shared" ref="E6:E25" si="3">C6/A6</f>
        <v>4317.5</v>
      </c>
      <c r="F6" t="b">
        <f t="shared" ref="F6:F25" si="4">D6&lt;=price_t</f>
        <v>1</v>
      </c>
      <c r="G6">
        <f t="shared" ref="G6:G25" si="5">IF(D6&gt;price_t,1,0)</f>
        <v>0</v>
      </c>
    </row>
    <row r="7" spans="1:7" x14ac:dyDescent="0.2">
      <c r="A7">
        <v>2</v>
      </c>
      <c r="B7" s="13">
        <f t="shared" si="0"/>
        <v>217.80000000000004</v>
      </c>
      <c r="C7" s="15">
        <f t="shared" si="1"/>
        <v>9322.5</v>
      </c>
      <c r="D7" s="15">
        <f t="shared" si="2"/>
        <v>5005</v>
      </c>
      <c r="E7" s="15">
        <f t="shared" si="3"/>
        <v>4661.25</v>
      </c>
      <c r="F7" t="b">
        <f t="shared" si="4"/>
        <v>1</v>
      </c>
      <c r="G7">
        <f t="shared" si="5"/>
        <v>0</v>
      </c>
    </row>
    <row r="8" spans="1:7" x14ac:dyDescent="0.2">
      <c r="A8">
        <v>3</v>
      </c>
      <c r="B8" s="13">
        <f t="shared" si="0"/>
        <v>359.37000000000012</v>
      </c>
      <c r="C8" s="15">
        <f t="shared" si="1"/>
        <v>15118.125000000004</v>
      </c>
      <c r="D8" s="15">
        <f t="shared" si="2"/>
        <v>5795.6250000000036</v>
      </c>
      <c r="E8" s="15">
        <f t="shared" si="3"/>
        <v>5039.3750000000009</v>
      </c>
      <c r="F8" t="b">
        <f t="shared" si="4"/>
        <v>1</v>
      </c>
      <c r="G8">
        <f t="shared" si="5"/>
        <v>0</v>
      </c>
    </row>
    <row r="9" spans="1:7" x14ac:dyDescent="0.2">
      <c r="A9">
        <v>4</v>
      </c>
      <c r="B9" s="13">
        <f t="shared" si="0"/>
        <v>527.07600000000014</v>
      </c>
      <c r="C9" s="15">
        <f t="shared" si="1"/>
        <v>21821.250000000004</v>
      </c>
      <c r="D9" s="15">
        <f t="shared" si="2"/>
        <v>6703.125</v>
      </c>
      <c r="E9" s="15">
        <f t="shared" si="3"/>
        <v>5455.3125000000009</v>
      </c>
      <c r="F9" t="b">
        <f t="shared" si="4"/>
        <v>1</v>
      </c>
      <c r="G9">
        <f t="shared" si="5"/>
        <v>0</v>
      </c>
    </row>
    <row r="10" spans="1:7" x14ac:dyDescent="0.2">
      <c r="A10">
        <v>5</v>
      </c>
      <c r="B10" s="13">
        <f t="shared" si="0"/>
        <v>724.72950000000026</v>
      </c>
      <c r="C10" s="15">
        <f t="shared" si="1"/>
        <v>29482.109375000004</v>
      </c>
      <c r="D10" s="15">
        <f t="shared" si="2"/>
        <v>7660.859375</v>
      </c>
      <c r="E10" s="15">
        <f t="shared" si="3"/>
        <v>5896.4218750000009</v>
      </c>
      <c r="F10" t="b">
        <f t="shared" si="4"/>
        <v>1</v>
      </c>
      <c r="G10">
        <f t="shared" si="5"/>
        <v>0</v>
      </c>
    </row>
    <row r="11" spans="1:7" x14ac:dyDescent="0.2">
      <c r="A11">
        <v>6</v>
      </c>
      <c r="B11" s="13">
        <f t="shared" si="0"/>
        <v>956.64294000000041</v>
      </c>
      <c r="C11" s="15">
        <f t="shared" si="1"/>
        <v>34388.384375000009</v>
      </c>
      <c r="D11" s="15">
        <f t="shared" si="2"/>
        <v>4906.2750000000051</v>
      </c>
      <c r="E11" s="15">
        <f t="shared" si="3"/>
        <v>5731.3973958333345</v>
      </c>
      <c r="F11" t="b">
        <f t="shared" si="4"/>
        <v>1</v>
      </c>
      <c r="G11">
        <f t="shared" si="5"/>
        <v>0</v>
      </c>
    </row>
    <row r="12" spans="1:7" x14ac:dyDescent="0.2">
      <c r="A12">
        <v>7</v>
      </c>
      <c r="B12" s="13">
        <f t="shared" si="0"/>
        <v>1227.6917730000007</v>
      </c>
      <c r="C12" s="15">
        <f t="shared" si="1"/>
        <v>39974.09328125001</v>
      </c>
      <c r="D12" s="15">
        <f t="shared" si="2"/>
        <v>5585.7089062500017</v>
      </c>
      <c r="E12" s="15">
        <f t="shared" si="3"/>
        <v>5710.5847544642875</v>
      </c>
      <c r="F12" t="b">
        <f t="shared" si="4"/>
        <v>1</v>
      </c>
      <c r="G12">
        <f t="shared" si="5"/>
        <v>0</v>
      </c>
    </row>
    <row r="13" spans="1:7" x14ac:dyDescent="0.2">
      <c r="A13">
        <v>8</v>
      </c>
      <c r="B13" s="13">
        <f t="shared" si="0"/>
        <v>1543.3839432000009</v>
      </c>
      <c r="C13" s="15">
        <f t="shared" si="1"/>
        <v>46334.860125000014</v>
      </c>
      <c r="D13" s="15">
        <f t="shared" si="2"/>
        <v>6360.7668437500033</v>
      </c>
      <c r="E13" s="15">
        <f t="shared" si="3"/>
        <v>5791.8575156250017</v>
      </c>
      <c r="F13" t="b">
        <f t="shared" si="4"/>
        <v>1</v>
      </c>
      <c r="G13">
        <f t="shared" si="5"/>
        <v>0</v>
      </c>
    </row>
    <row r="14" spans="1:7" x14ac:dyDescent="0.2">
      <c r="A14">
        <v>9</v>
      </c>
      <c r="B14" s="13">
        <f t="shared" si="0"/>
        <v>1909.9376297100011</v>
      </c>
      <c r="C14" s="15">
        <f t="shared" si="1"/>
        <v>53578.639404687521</v>
      </c>
      <c r="D14" s="15">
        <f t="shared" si="2"/>
        <v>7243.7792796875074</v>
      </c>
      <c r="E14" s="15">
        <f t="shared" si="3"/>
        <v>5953.182156076391</v>
      </c>
      <c r="F14" t="b">
        <f t="shared" si="4"/>
        <v>1</v>
      </c>
      <c r="G14">
        <f t="shared" si="5"/>
        <v>0</v>
      </c>
    </row>
    <row r="15" spans="1:7" x14ac:dyDescent="0.2">
      <c r="A15">
        <v>10</v>
      </c>
      <c r="B15" s="13">
        <f t="shared" si="0"/>
        <v>2334.3682140900019</v>
      </c>
      <c r="C15" s="15">
        <f t="shared" si="1"/>
        <v>61827.225939062533</v>
      </c>
      <c r="D15" s="15">
        <f t="shared" si="2"/>
        <v>8248.586534375012</v>
      </c>
      <c r="E15" s="15">
        <f t="shared" si="3"/>
        <v>6182.7225939062537</v>
      </c>
      <c r="F15" t="b">
        <f t="shared" si="4"/>
        <v>1</v>
      </c>
      <c r="G15">
        <f t="shared" si="5"/>
        <v>0</v>
      </c>
    </row>
    <row r="16" spans="1:7" x14ac:dyDescent="0.2">
      <c r="A16">
        <v>11</v>
      </c>
      <c r="B16" s="13">
        <f t="shared" si="0"/>
        <v>2824.5855390489023</v>
      </c>
      <c r="C16" s="15">
        <f t="shared" si="1"/>
        <v>71217.943386265659</v>
      </c>
      <c r="D16" s="15">
        <f t="shared" si="2"/>
        <v>9390.7174472031256</v>
      </c>
      <c r="E16" s="15">
        <f t="shared" si="3"/>
        <v>6474.3584896605144</v>
      </c>
      <c r="F16" t="b">
        <f t="shared" si="4"/>
        <v>0</v>
      </c>
      <c r="G16">
        <f t="shared" si="5"/>
        <v>1</v>
      </c>
    </row>
    <row r="17" spans="1:7" x14ac:dyDescent="0.2">
      <c r="A17">
        <v>12</v>
      </c>
      <c r="B17" s="13">
        <f t="shared" si="0"/>
        <v>3389.502646858683</v>
      </c>
      <c r="C17" s="15">
        <f t="shared" si="1"/>
        <v>81905.532063518796</v>
      </c>
      <c r="D17" s="15">
        <f t="shared" si="2"/>
        <v>10687.588677253138</v>
      </c>
      <c r="E17" s="15">
        <f t="shared" si="3"/>
        <v>6825.461005293233</v>
      </c>
      <c r="F17" t="b">
        <f t="shared" si="4"/>
        <v>0</v>
      </c>
      <c r="G17">
        <f t="shared" si="5"/>
        <v>1</v>
      </c>
    </row>
    <row r="18" spans="1:7" x14ac:dyDescent="0.2">
      <c r="A18">
        <v>13</v>
      </c>
      <c r="B18" s="13">
        <f t="shared" si="0"/>
        <v>4039.1573208399304</v>
      </c>
      <c r="C18" s="15">
        <f t="shared" si="1"/>
        <v>94064.259042359903</v>
      </c>
      <c r="D18" s="15">
        <f t="shared" si="2"/>
        <v>12158.726978841107</v>
      </c>
      <c r="E18" s="15">
        <f t="shared" si="3"/>
        <v>7235.7122340276846</v>
      </c>
      <c r="F18" t="b">
        <f t="shared" si="4"/>
        <v>0</v>
      </c>
      <c r="G18">
        <f t="shared" si="5"/>
        <v>1</v>
      </c>
    </row>
    <row r="19" spans="1:7" x14ac:dyDescent="0.2">
      <c r="A19">
        <v>14</v>
      </c>
      <c r="B19" s="13">
        <f t="shared" si="0"/>
        <v>4784.8479031488414</v>
      </c>
      <c r="C19" s="15">
        <f t="shared" si="1"/>
        <v>107890.27609633406</v>
      </c>
      <c r="D19" s="15">
        <f t="shared" si="2"/>
        <v>13826.017053974152</v>
      </c>
      <c r="E19" s="15">
        <f t="shared" si="3"/>
        <v>7706.4482925952898</v>
      </c>
      <c r="F19" t="b">
        <f t="shared" si="4"/>
        <v>0</v>
      </c>
      <c r="G19">
        <f t="shared" si="5"/>
        <v>1</v>
      </c>
    </row>
    <row r="20" spans="1:7" x14ac:dyDescent="0.2">
      <c r="A20">
        <v>15</v>
      </c>
      <c r="B20" s="13">
        <f t="shared" si="0"/>
        <v>5639.2850287111351</v>
      </c>
      <c r="C20" s="15">
        <f t="shared" si="1"/>
        <v>123604.25397067942</v>
      </c>
      <c r="D20" s="15">
        <f t="shared" si="2"/>
        <v>15713.977874345364</v>
      </c>
      <c r="E20" s="15">
        <f t="shared" si="3"/>
        <v>8240.2835980452946</v>
      </c>
      <c r="F20" t="b">
        <f t="shared" si="4"/>
        <v>0</v>
      </c>
      <c r="G20">
        <f t="shared" si="5"/>
        <v>1</v>
      </c>
    </row>
    <row r="21" spans="1:7" x14ac:dyDescent="0.2">
      <c r="A21">
        <v>16</v>
      </c>
      <c r="B21" s="13">
        <f t="shared" si="0"/>
        <v>6616.761100354398</v>
      </c>
      <c r="C21" s="15">
        <f t="shared" si="1"/>
        <v>141454.32465893053</v>
      </c>
      <c r="D21" s="15">
        <f t="shared" si="2"/>
        <v>17850.070688251115</v>
      </c>
      <c r="E21" s="15">
        <f t="shared" si="3"/>
        <v>8840.8952911831584</v>
      </c>
      <c r="F21" t="b">
        <f t="shared" si="4"/>
        <v>0</v>
      </c>
      <c r="G21">
        <f t="shared" si="5"/>
        <v>1</v>
      </c>
    </row>
    <row r="22" spans="1:7" x14ac:dyDescent="0.2">
      <c r="A22">
        <v>17</v>
      </c>
      <c r="B22" s="13">
        <f t="shared" si="0"/>
        <v>7733.3395360392033</v>
      </c>
      <c r="C22" s="15">
        <f t="shared" si="1"/>
        <v>161719.36694512505</v>
      </c>
      <c r="D22" s="15">
        <f t="shared" si="2"/>
        <v>20265.042286194512</v>
      </c>
      <c r="E22" s="15">
        <f t="shared" si="3"/>
        <v>9512.903937948533</v>
      </c>
      <c r="F22" t="b">
        <f t="shared" si="4"/>
        <v>0</v>
      </c>
      <c r="G22">
        <f t="shared" si="5"/>
        <v>1</v>
      </c>
    </row>
    <row r="23" spans="1:7" x14ac:dyDescent="0.2">
      <c r="A23">
        <v>18</v>
      </c>
      <c r="B23" s="13">
        <f t="shared" si="0"/>
        <v>9007.0660478574246</v>
      </c>
      <c r="C23" s="15">
        <f t="shared" si="1"/>
        <v>184712.67444196917</v>
      </c>
      <c r="D23" s="15">
        <f t="shared" si="2"/>
        <v>22993.307496844121</v>
      </c>
      <c r="E23" s="15">
        <f t="shared" si="3"/>
        <v>10261.815246776065</v>
      </c>
      <c r="F23" t="b">
        <f t="shared" si="4"/>
        <v>0</v>
      </c>
      <c r="G23">
        <f t="shared" si="5"/>
        <v>1</v>
      </c>
    </row>
    <row r="24" spans="1:7" x14ac:dyDescent="0.2">
      <c r="A24">
        <v>19</v>
      </c>
      <c r="B24" s="13">
        <f t="shared" si="0"/>
        <v>10458.204466678902</v>
      </c>
      <c r="C24" s="15">
        <f t="shared" si="1"/>
        <v>210786.04976873094</v>
      </c>
      <c r="D24" s="15">
        <f t="shared" si="2"/>
        <v>26073.375326761772</v>
      </c>
      <c r="E24" s="15">
        <f t="shared" si="3"/>
        <v>11094.002619406892</v>
      </c>
      <c r="F24" t="b">
        <f t="shared" si="4"/>
        <v>0</v>
      </c>
      <c r="G24">
        <f t="shared" si="5"/>
        <v>1</v>
      </c>
    </row>
    <row r="25" spans="1:7" x14ac:dyDescent="0.2">
      <c r="A25">
        <v>20</v>
      </c>
      <c r="B25" s="13">
        <f t="shared" si="0"/>
        <v>12109.499908786096</v>
      </c>
      <c r="C25" s="15">
        <f t="shared" si="1"/>
        <v>240334.37341642528</v>
      </c>
      <c r="D25" s="15">
        <f t="shared" si="2"/>
        <v>29548.323647694342</v>
      </c>
      <c r="E25" s="15">
        <f t="shared" si="3"/>
        <v>12016.718670821265</v>
      </c>
      <c r="F25" t="b">
        <f t="shared" si="4"/>
        <v>0</v>
      </c>
      <c r="G25">
        <f t="shared" si="5"/>
        <v>1</v>
      </c>
    </row>
    <row r="26" spans="1:7" x14ac:dyDescent="0.2">
      <c r="A26" s="17" t="s">
        <v>159</v>
      </c>
      <c r="G26">
        <f>IFERROR(MATCH(1,G6:G25,0)-1,cap_t)</f>
        <v>10</v>
      </c>
    </row>
    <row r="28" spans="1:7" x14ac:dyDescent="0.2">
      <c r="A28" s="17" t="s">
        <v>160</v>
      </c>
      <c r="C28" s="15">
        <f>price_c</f>
        <v>2094</v>
      </c>
    </row>
    <row r="29" spans="1:7" x14ac:dyDescent="0.2">
      <c r="A29" s="2" t="s">
        <v>152</v>
      </c>
      <c r="B29" s="2" t="s">
        <v>153</v>
      </c>
      <c r="C29" s="2" t="s">
        <v>154</v>
      </c>
      <c r="D29" s="2" t="s">
        <v>155</v>
      </c>
      <c r="E29" s="2" t="s">
        <v>156</v>
      </c>
      <c r="F29" s="2" t="s">
        <v>157</v>
      </c>
      <c r="G29" s="2" t="s">
        <v>158</v>
      </c>
    </row>
    <row r="30" spans="1:7" x14ac:dyDescent="0.2">
      <c r="A30">
        <v>0</v>
      </c>
      <c r="B30" s="13">
        <f t="shared" ref="B30:B50" si="6">A30*hrs_c*weeks*(1+dim_c)^A30</f>
        <v>0</v>
      </c>
      <c r="C30" s="15">
        <f t="shared" ref="C30:C50" si="7">MIN(B30,perm_field_hrs)*perm_rate+MAX(0,B30-perm_field_hrs)*temp_rate+A30*fert_c</f>
        <v>0</v>
      </c>
      <c r="D30" s="15"/>
      <c r="E30" s="15"/>
    </row>
    <row r="31" spans="1:7" x14ac:dyDescent="0.2">
      <c r="A31">
        <v>1</v>
      </c>
      <c r="B31" s="13">
        <f t="shared" si="6"/>
        <v>30.749999999999996</v>
      </c>
      <c r="C31" s="15">
        <f t="shared" si="7"/>
        <v>1507.7083333333333</v>
      </c>
      <c r="D31" s="15">
        <f t="shared" ref="D31:D50" si="8">C31-C30</f>
        <v>1507.7083333333333</v>
      </c>
      <c r="E31" s="15">
        <f t="shared" ref="E31:E50" si="9">C31/A31</f>
        <v>1507.7083333333333</v>
      </c>
      <c r="F31" t="b">
        <f t="shared" ref="F31:F50" si="10">D31&lt;=price_c</f>
        <v>1</v>
      </c>
      <c r="G31">
        <f t="shared" ref="G31:G50" si="11">IF(D31&gt;price_c,1,0)</f>
        <v>0</v>
      </c>
    </row>
    <row r="32" spans="1:7" x14ac:dyDescent="0.2">
      <c r="A32">
        <v>2</v>
      </c>
      <c r="B32" s="13">
        <f t="shared" si="6"/>
        <v>63.037499999999994</v>
      </c>
      <c r="C32" s="15">
        <f t="shared" si="7"/>
        <v>3068.802083333333</v>
      </c>
      <c r="D32" s="15">
        <f t="shared" si="8"/>
        <v>1561.0937499999998</v>
      </c>
      <c r="E32" s="15">
        <f t="shared" si="9"/>
        <v>1534.4010416666665</v>
      </c>
      <c r="F32" t="b">
        <f t="shared" si="10"/>
        <v>1</v>
      </c>
      <c r="G32">
        <f t="shared" si="11"/>
        <v>0</v>
      </c>
    </row>
    <row r="33" spans="1:7" x14ac:dyDescent="0.2">
      <c r="A33">
        <v>3</v>
      </c>
      <c r="B33" s="13">
        <f t="shared" si="6"/>
        <v>96.920156249999991</v>
      </c>
      <c r="C33" s="15">
        <f t="shared" si="7"/>
        <v>4685.283203125</v>
      </c>
      <c r="D33" s="15">
        <f t="shared" si="8"/>
        <v>1616.481119791667</v>
      </c>
      <c r="E33" s="15">
        <f t="shared" si="9"/>
        <v>1561.7610677083333</v>
      </c>
      <c r="F33" t="b">
        <f t="shared" si="10"/>
        <v>1</v>
      </c>
      <c r="G33">
        <f t="shared" si="11"/>
        <v>0</v>
      </c>
    </row>
    <row r="34" spans="1:7" x14ac:dyDescent="0.2">
      <c r="A34">
        <v>4</v>
      </c>
      <c r="B34" s="13">
        <f t="shared" si="6"/>
        <v>132.45754687499996</v>
      </c>
      <c r="C34" s="15">
        <f t="shared" si="7"/>
        <v>6359.2203776041652</v>
      </c>
      <c r="D34" s="15">
        <f t="shared" si="8"/>
        <v>1673.9371744791652</v>
      </c>
      <c r="E34" s="15">
        <f t="shared" si="9"/>
        <v>1589.8050944010413</v>
      </c>
      <c r="F34" t="b">
        <f t="shared" si="10"/>
        <v>1</v>
      </c>
      <c r="G34">
        <f t="shared" si="11"/>
        <v>0</v>
      </c>
    </row>
    <row r="35" spans="1:7" x14ac:dyDescent="0.2">
      <c r="A35">
        <v>5</v>
      </c>
      <c r="B35" s="13">
        <f t="shared" si="6"/>
        <v>169.71123193359369</v>
      </c>
      <c r="C35" s="15">
        <f t="shared" si="7"/>
        <v>8092.7511088053361</v>
      </c>
      <c r="D35" s="15">
        <f t="shared" si="8"/>
        <v>1733.530731201171</v>
      </c>
      <c r="E35" s="15">
        <f t="shared" si="9"/>
        <v>1618.5502217610672</v>
      </c>
      <c r="F35" t="b">
        <f t="shared" si="10"/>
        <v>1</v>
      </c>
      <c r="G35">
        <f t="shared" si="11"/>
        <v>0</v>
      </c>
    </row>
    <row r="36" spans="1:7" x14ac:dyDescent="0.2">
      <c r="A36">
        <v>6</v>
      </c>
      <c r="B36" s="13">
        <f t="shared" si="6"/>
        <v>208.74481527832023</v>
      </c>
      <c r="C36" s="15">
        <f t="shared" si="7"/>
        <v>9888.0838638305631</v>
      </c>
      <c r="D36" s="15">
        <f t="shared" si="8"/>
        <v>1795.332755025227</v>
      </c>
      <c r="E36" s="15">
        <f t="shared" si="9"/>
        <v>1648.0139773050939</v>
      </c>
      <c r="F36" t="b">
        <f t="shared" si="10"/>
        <v>1</v>
      </c>
      <c r="G36">
        <f t="shared" si="11"/>
        <v>0</v>
      </c>
    </row>
    <row r="37" spans="1:7" x14ac:dyDescent="0.2">
      <c r="A37">
        <v>7</v>
      </c>
      <c r="B37" s="13">
        <f t="shared" si="6"/>
        <v>249.62400827032465</v>
      </c>
      <c r="C37" s="15">
        <f t="shared" si="7"/>
        <v>11747.50028716405</v>
      </c>
      <c r="D37" s="15">
        <f t="shared" si="8"/>
        <v>1859.4164233334868</v>
      </c>
      <c r="E37" s="15">
        <f t="shared" si="9"/>
        <v>1678.2143267377214</v>
      </c>
      <c r="F37" t="b">
        <f t="shared" si="10"/>
        <v>1</v>
      </c>
      <c r="G37">
        <f t="shared" si="11"/>
        <v>0</v>
      </c>
    </row>
    <row r="38" spans="1:7" x14ac:dyDescent="0.2">
      <c r="A38">
        <v>8</v>
      </c>
      <c r="B38" s="13">
        <f t="shared" si="6"/>
        <v>292.41669540238024</v>
      </c>
      <c r="C38" s="15">
        <f t="shared" si="7"/>
        <v>13673.357479249315</v>
      </c>
      <c r="D38" s="15">
        <f t="shared" si="8"/>
        <v>1925.8571920852646</v>
      </c>
      <c r="E38" s="15">
        <f t="shared" si="9"/>
        <v>1709.1696849061643</v>
      </c>
      <c r="F38" t="b">
        <f t="shared" si="10"/>
        <v>1</v>
      </c>
      <c r="G38">
        <f t="shared" si="11"/>
        <v>0</v>
      </c>
    </row>
    <row r="39" spans="1:7" x14ac:dyDescent="0.2">
      <c r="A39">
        <v>9</v>
      </c>
      <c r="B39" s="13">
        <f t="shared" si="6"/>
        <v>337.19300188586965</v>
      </c>
      <c r="C39" s="15">
        <f t="shared" si="7"/>
        <v>15668.090343259362</v>
      </c>
      <c r="D39" s="15">
        <f t="shared" si="8"/>
        <v>1994.7328640100477</v>
      </c>
      <c r="E39" s="15">
        <f t="shared" si="9"/>
        <v>1740.898927028818</v>
      </c>
      <c r="F39" t="b">
        <f t="shared" si="10"/>
        <v>1</v>
      </c>
      <c r="G39">
        <f t="shared" si="11"/>
        <v>0</v>
      </c>
    </row>
    <row r="40" spans="1:7" x14ac:dyDescent="0.2">
      <c r="A40">
        <v>10</v>
      </c>
      <c r="B40" s="13">
        <f t="shared" si="6"/>
        <v>384.02536325890713</v>
      </c>
      <c r="C40" s="15">
        <f t="shared" si="7"/>
        <v>17734.214002045388</v>
      </c>
      <c r="D40" s="15">
        <f t="shared" si="8"/>
        <v>2066.1236587860258</v>
      </c>
      <c r="E40" s="15">
        <f t="shared" si="9"/>
        <v>1773.4214002045387</v>
      </c>
      <c r="F40" t="b">
        <f t="shared" si="10"/>
        <v>1</v>
      </c>
      <c r="G40">
        <f t="shared" si="11"/>
        <v>0</v>
      </c>
    </row>
    <row r="41" spans="1:7" x14ac:dyDescent="0.2">
      <c r="A41">
        <v>11</v>
      </c>
      <c r="B41" s="13">
        <f t="shared" si="6"/>
        <v>432.98859707441784</v>
      </c>
      <c r="C41" s="15">
        <f t="shared" si="7"/>
        <v>19874.326287306176</v>
      </c>
      <c r="D41" s="15">
        <f t="shared" si="8"/>
        <v>2140.1122852607878</v>
      </c>
      <c r="E41" s="15">
        <f t="shared" si="9"/>
        <v>1806.7569352096523</v>
      </c>
      <c r="F41" t="b">
        <f t="shared" si="10"/>
        <v>0</v>
      </c>
      <c r="G41">
        <f t="shared" si="11"/>
        <v>1</v>
      </c>
    </row>
    <row r="42" spans="1:7" x14ac:dyDescent="0.2">
      <c r="A42">
        <v>12</v>
      </c>
      <c r="B42" s="13">
        <f t="shared" si="6"/>
        <v>484.15997672866712</v>
      </c>
      <c r="C42" s="15">
        <f t="shared" si="7"/>
        <v>22091.11030307872</v>
      </c>
      <c r="D42" s="15">
        <f t="shared" si="8"/>
        <v>2216.7840157725441</v>
      </c>
      <c r="E42" s="15">
        <f t="shared" si="9"/>
        <v>1840.9258585898933</v>
      </c>
      <c r="F42" t="b">
        <f t="shared" si="10"/>
        <v>0</v>
      </c>
      <c r="G42">
        <f t="shared" si="11"/>
        <v>1</v>
      </c>
    </row>
    <row r="43" spans="1:7" x14ac:dyDescent="0.2">
      <c r="A43">
        <v>13</v>
      </c>
      <c r="B43" s="13">
        <f t="shared" si="6"/>
        <v>537.61930749245744</v>
      </c>
      <c r="C43" s="15">
        <f t="shared" si="7"/>
        <v>24387.337065710326</v>
      </c>
      <c r="D43" s="15">
        <f t="shared" si="8"/>
        <v>2296.2267626316061</v>
      </c>
      <c r="E43" s="15">
        <f t="shared" si="9"/>
        <v>1875.9490050546406</v>
      </c>
      <c r="F43" t="b">
        <f t="shared" si="10"/>
        <v>0</v>
      </c>
      <c r="G43">
        <f t="shared" si="11"/>
        <v>1</v>
      </c>
    </row>
    <row r="44" spans="1:7" x14ac:dyDescent="0.2">
      <c r="A44">
        <v>14</v>
      </c>
      <c r="B44" s="13">
        <f t="shared" si="6"/>
        <v>593.44900480898184</v>
      </c>
      <c r="C44" s="15">
        <f t="shared" si="7"/>
        <v>26765.868222534093</v>
      </c>
      <c r="D44" s="15">
        <f t="shared" si="8"/>
        <v>2378.5311568237667</v>
      </c>
      <c r="E44" s="15">
        <f t="shared" si="9"/>
        <v>1911.8477301810067</v>
      </c>
      <c r="F44" t="b">
        <f t="shared" si="10"/>
        <v>0</v>
      </c>
      <c r="G44">
        <f t="shared" si="11"/>
        <v>1</v>
      </c>
    </row>
    <row r="45" spans="1:7" x14ac:dyDescent="0.2">
      <c r="A45">
        <v>15</v>
      </c>
      <c r="B45" s="13">
        <f t="shared" si="6"/>
        <v>651.73417492414967</v>
      </c>
      <c r="C45" s="15">
        <f t="shared" si="7"/>
        <v>29229.658851532975</v>
      </c>
      <c r="D45" s="15">
        <f t="shared" si="8"/>
        <v>2463.7906289988823</v>
      </c>
      <c r="E45" s="15">
        <f t="shared" si="9"/>
        <v>1948.6439234355316</v>
      </c>
      <c r="F45" t="b">
        <f t="shared" si="10"/>
        <v>0</v>
      </c>
      <c r="G45">
        <f t="shared" si="11"/>
        <v>1</v>
      </c>
    </row>
    <row r="46" spans="1:7" x14ac:dyDescent="0.2">
      <c r="A46">
        <v>16</v>
      </c>
      <c r="B46" s="13">
        <f t="shared" si="6"/>
        <v>712.5626979170703</v>
      </c>
      <c r="C46" s="15">
        <f t="shared" si="7"/>
        <v>31781.760344342718</v>
      </c>
      <c r="D46" s="15">
        <f t="shared" si="8"/>
        <v>2552.1014928097429</v>
      </c>
      <c r="E46" s="15">
        <f t="shared" si="9"/>
        <v>1986.3600215214199</v>
      </c>
      <c r="F46" t="b">
        <f t="shared" si="10"/>
        <v>0</v>
      </c>
      <c r="G46">
        <f t="shared" si="11"/>
        <v>1</v>
      </c>
    </row>
    <row r="47" spans="1:7" x14ac:dyDescent="0.2">
      <c r="A47">
        <v>17</v>
      </c>
      <c r="B47" s="13">
        <f t="shared" si="6"/>
        <v>776.02531320030937</v>
      </c>
      <c r="C47" s="15">
        <f t="shared" si="7"/>
        <v>33452.661687505373</v>
      </c>
      <c r="D47" s="15">
        <f t="shared" si="8"/>
        <v>1670.9013431626554</v>
      </c>
      <c r="E47" s="15">
        <f t="shared" si="9"/>
        <v>1967.8036286767867</v>
      </c>
      <c r="F47" t="b">
        <f t="shared" si="10"/>
        <v>1</v>
      </c>
      <c r="G47">
        <f t="shared" si="11"/>
        <v>0</v>
      </c>
    </row>
    <row r="48" spans="1:7" x14ac:dyDescent="0.2">
      <c r="A48">
        <v>18</v>
      </c>
      <c r="B48" s="13">
        <f t="shared" si="6"/>
        <v>842.2157075615122</v>
      </c>
      <c r="C48" s="15">
        <f t="shared" si="7"/>
        <v>35041.800478498481</v>
      </c>
      <c r="D48" s="15">
        <f t="shared" si="8"/>
        <v>1589.1387909931072</v>
      </c>
      <c r="E48" s="15">
        <f t="shared" si="9"/>
        <v>1946.7666932499155</v>
      </c>
      <c r="F48" t="b">
        <f t="shared" si="10"/>
        <v>1</v>
      </c>
      <c r="G48">
        <f t="shared" si="11"/>
        <v>0</v>
      </c>
    </row>
    <row r="49" spans="1:7" x14ac:dyDescent="0.2">
      <c r="A49">
        <v>19</v>
      </c>
      <c r="B49" s="13">
        <f t="shared" si="6"/>
        <v>911.23060582002495</v>
      </c>
      <c r="C49" s="15">
        <f t="shared" si="7"/>
        <v>36679.975795486549</v>
      </c>
      <c r="D49" s="15">
        <f t="shared" si="8"/>
        <v>1638.1753169880685</v>
      </c>
      <c r="E49" s="15">
        <f t="shared" si="9"/>
        <v>1930.5250418677131</v>
      </c>
      <c r="F49" t="b">
        <f t="shared" si="10"/>
        <v>1</v>
      </c>
      <c r="G49">
        <f t="shared" si="11"/>
        <v>0</v>
      </c>
    </row>
    <row r="50" spans="1:7" x14ac:dyDescent="0.2">
      <c r="A50">
        <v>20</v>
      </c>
      <c r="B50" s="13">
        <f t="shared" si="6"/>
        <v>983.16986417423732</v>
      </c>
      <c r="C50" s="15">
        <f t="shared" si="7"/>
        <v>38368.92125302495</v>
      </c>
      <c r="D50" s="15">
        <f t="shared" si="8"/>
        <v>1688.9454575384007</v>
      </c>
      <c r="E50" s="15">
        <f t="shared" si="9"/>
        <v>1918.4460626512475</v>
      </c>
      <c r="F50" t="b">
        <f t="shared" si="10"/>
        <v>1</v>
      </c>
      <c r="G50">
        <f t="shared" si="11"/>
        <v>0</v>
      </c>
    </row>
    <row r="51" spans="1:7" x14ac:dyDescent="0.2">
      <c r="A51" s="17" t="s">
        <v>159</v>
      </c>
      <c r="G51">
        <f>IFERROR(MATCH(1,G31:G50,0)-1,cap_c)</f>
        <v>10</v>
      </c>
    </row>
    <row r="53" spans="1:7" x14ac:dyDescent="0.2">
      <c r="A53" s="17" t="s">
        <v>161</v>
      </c>
      <c r="C53" s="15">
        <f>price_m</f>
        <v>2700</v>
      </c>
    </row>
    <row r="54" spans="1:7" x14ac:dyDescent="0.2">
      <c r="A54" s="2" t="s">
        <v>152</v>
      </c>
      <c r="B54" s="2" t="s">
        <v>153</v>
      </c>
      <c r="C54" s="2" t="s">
        <v>154</v>
      </c>
      <c r="D54" s="2" t="s">
        <v>155</v>
      </c>
      <c r="E54" s="2" t="s">
        <v>156</v>
      </c>
      <c r="F54" s="2" t="s">
        <v>157</v>
      </c>
      <c r="G54" s="2" t="s">
        <v>158</v>
      </c>
    </row>
    <row r="55" spans="1:7" x14ac:dyDescent="0.2">
      <c r="A55">
        <v>0</v>
      </c>
      <c r="B55" s="13">
        <f t="shared" ref="B55:B85" si="12">A55*hrs_m*weeks*(1+dim_m)^A55</f>
        <v>0</v>
      </c>
      <c r="C55" s="15">
        <f t="shared" ref="C55:C85" si="13">MIN(B55,perm_field_hrs)*perm_rate+MAX(0,B55-perm_field_hrs)*temp_rate+A55*fert_m</f>
        <v>0</v>
      </c>
      <c r="D55" s="15"/>
      <c r="E55" s="15"/>
    </row>
    <row r="56" spans="1:7" x14ac:dyDescent="0.2">
      <c r="A56">
        <v>1</v>
      </c>
      <c r="B56" s="13">
        <f t="shared" si="12"/>
        <v>45.5625</v>
      </c>
      <c r="C56" s="15">
        <f t="shared" si="13"/>
        <v>2462.03125</v>
      </c>
      <c r="D56" s="15">
        <f t="shared" ref="D56:D85" si="14">C56-C55</f>
        <v>2462.03125</v>
      </c>
      <c r="E56" s="15">
        <f t="shared" ref="E56:E85" si="15">C56/A56</f>
        <v>2462.03125</v>
      </c>
      <c r="F56" t="b">
        <f t="shared" ref="F56:F85" si="16">D56&lt;=price_m</f>
        <v>1</v>
      </c>
      <c r="G56">
        <f t="shared" ref="G56:G85" si="17">IF(D56&gt;price_m,1,0)</f>
        <v>0</v>
      </c>
    </row>
    <row r="57" spans="1:7" x14ac:dyDescent="0.2">
      <c r="A57">
        <v>2</v>
      </c>
      <c r="B57" s="13">
        <f t="shared" si="12"/>
        <v>92.264062499999994</v>
      </c>
      <c r="C57" s="15">
        <f t="shared" si="13"/>
        <v>4963.61328125</v>
      </c>
      <c r="D57" s="15">
        <f t="shared" si="14"/>
        <v>2501.58203125</v>
      </c>
      <c r="E57" s="15">
        <f t="shared" si="15"/>
        <v>2481.806640625</v>
      </c>
      <c r="F57" t="b">
        <f t="shared" si="16"/>
        <v>1</v>
      </c>
      <c r="G57">
        <f t="shared" si="17"/>
        <v>0</v>
      </c>
    </row>
    <row r="58" spans="1:7" x14ac:dyDescent="0.2">
      <c r="A58">
        <v>3</v>
      </c>
      <c r="B58" s="13">
        <f t="shared" si="12"/>
        <v>140.12604492187498</v>
      </c>
      <c r="C58" s="15">
        <f t="shared" si="13"/>
        <v>7505.4876708984366</v>
      </c>
      <c r="D58" s="15">
        <f t="shared" si="14"/>
        <v>2541.8743896484366</v>
      </c>
      <c r="E58" s="15">
        <f t="shared" si="15"/>
        <v>2501.829223632812</v>
      </c>
      <c r="F58" t="b">
        <f t="shared" si="16"/>
        <v>1</v>
      </c>
      <c r="G58">
        <f t="shared" si="17"/>
        <v>0</v>
      </c>
    </row>
    <row r="59" spans="1:7" x14ac:dyDescent="0.2">
      <c r="A59">
        <v>4</v>
      </c>
      <c r="B59" s="13">
        <f t="shared" si="12"/>
        <v>189.17016064453125</v>
      </c>
      <c r="C59" s="15">
        <f t="shared" si="13"/>
        <v>10088.408355712891</v>
      </c>
      <c r="D59" s="15">
        <f t="shared" si="14"/>
        <v>2582.920684814454</v>
      </c>
      <c r="E59" s="15">
        <f t="shared" si="15"/>
        <v>2522.1020889282227</v>
      </c>
      <c r="F59" t="b">
        <f t="shared" si="16"/>
        <v>1</v>
      </c>
      <c r="G59">
        <f t="shared" si="17"/>
        <v>0</v>
      </c>
    </row>
    <row r="60" spans="1:7" x14ac:dyDescent="0.2">
      <c r="A60">
        <v>5</v>
      </c>
      <c r="B60" s="13">
        <f t="shared" si="12"/>
        <v>239.41848456573481</v>
      </c>
      <c r="C60" s="15">
        <f t="shared" si="13"/>
        <v>12713.141825199125</v>
      </c>
      <c r="D60" s="15">
        <f t="shared" si="14"/>
        <v>2624.7334694862348</v>
      </c>
      <c r="E60" s="15">
        <f t="shared" si="15"/>
        <v>2542.628365039825</v>
      </c>
      <c r="F60" t="b">
        <f t="shared" si="16"/>
        <v>1</v>
      </c>
      <c r="G60">
        <f t="shared" si="17"/>
        <v>0</v>
      </c>
    </row>
    <row r="61" spans="1:7" x14ac:dyDescent="0.2">
      <c r="A61">
        <v>6</v>
      </c>
      <c r="B61" s="13">
        <f t="shared" si="12"/>
        <v>290.89345874736784</v>
      </c>
      <c r="C61" s="15">
        <f t="shared" si="13"/>
        <v>15380.467317616938</v>
      </c>
      <c r="D61" s="15">
        <f t="shared" si="14"/>
        <v>2667.3254924178127</v>
      </c>
      <c r="E61" s="15">
        <f t="shared" si="15"/>
        <v>2563.4112196028232</v>
      </c>
      <c r="F61" t="b">
        <f t="shared" si="16"/>
        <v>1</v>
      </c>
      <c r="G61">
        <f t="shared" si="17"/>
        <v>0</v>
      </c>
    </row>
    <row r="62" spans="1:7" x14ac:dyDescent="0.2">
      <c r="A62">
        <v>7</v>
      </c>
      <c r="B62" s="13">
        <f t="shared" si="12"/>
        <v>343.61789814532818</v>
      </c>
      <c r="C62" s="15">
        <f t="shared" si="13"/>
        <v>18091.177018935006</v>
      </c>
      <c r="D62" s="15">
        <f t="shared" si="14"/>
        <v>2710.7097013180683</v>
      </c>
      <c r="E62" s="15">
        <f t="shared" si="15"/>
        <v>2584.453859847858</v>
      </c>
      <c r="F62" t="b">
        <f t="shared" si="16"/>
        <v>0</v>
      </c>
      <c r="G62">
        <f t="shared" si="17"/>
        <v>1</v>
      </c>
    </row>
    <row r="63" spans="1:7" x14ac:dyDescent="0.2">
      <c r="A63">
        <v>8</v>
      </c>
      <c r="B63" s="13">
        <f t="shared" si="12"/>
        <v>397.61499642530839</v>
      </c>
      <c r="C63" s="15">
        <f t="shared" si="13"/>
        <v>20846.076264767653</v>
      </c>
      <c r="D63" s="15">
        <f t="shared" si="14"/>
        <v>2754.8992458326466</v>
      </c>
      <c r="E63" s="15">
        <f t="shared" si="15"/>
        <v>2605.7595330959566</v>
      </c>
      <c r="F63" t="b">
        <f t="shared" si="16"/>
        <v>0</v>
      </c>
      <c r="G63">
        <f t="shared" si="17"/>
        <v>1</v>
      </c>
    </row>
    <row r="64" spans="1:7" x14ac:dyDescent="0.2">
      <c r="A64">
        <v>9</v>
      </c>
      <c r="B64" s="13">
        <f t="shared" si="12"/>
        <v>452.90833186570285</v>
      </c>
      <c r="C64" s="15">
        <f t="shared" si="13"/>
        <v>23645.983745336904</v>
      </c>
      <c r="D64" s="15">
        <f t="shared" si="14"/>
        <v>2799.9074805692508</v>
      </c>
      <c r="E64" s="15">
        <f t="shared" si="15"/>
        <v>2627.331527259656</v>
      </c>
      <c r="F64" t="b">
        <f t="shared" si="16"/>
        <v>0</v>
      </c>
      <c r="G64">
        <f t="shared" si="17"/>
        <v>1</v>
      </c>
    </row>
    <row r="65" spans="1:7" x14ac:dyDescent="0.2">
      <c r="A65">
        <v>10</v>
      </c>
      <c r="B65" s="13">
        <f t="shared" si="12"/>
        <v>509.52187334891573</v>
      </c>
      <c r="C65" s="15">
        <f t="shared" si="13"/>
        <v>26491.731713504018</v>
      </c>
      <c r="D65" s="15">
        <f t="shared" si="14"/>
        <v>2845.7479681671139</v>
      </c>
      <c r="E65" s="15">
        <f t="shared" si="15"/>
        <v>2649.1731713504018</v>
      </c>
      <c r="F65" t="b">
        <f t="shared" si="16"/>
        <v>0</v>
      </c>
      <c r="G65">
        <f t="shared" si="17"/>
        <v>1</v>
      </c>
    </row>
    <row r="66" spans="1:7" x14ac:dyDescent="0.2">
      <c r="A66">
        <v>11</v>
      </c>
      <c r="B66" s="13">
        <f t="shared" si="12"/>
        <v>567.47998644235474</v>
      </c>
      <c r="C66" s="15">
        <f t="shared" si="13"/>
        <v>29384.166195915095</v>
      </c>
      <c r="D66" s="15">
        <f t="shared" si="14"/>
        <v>2892.4344824110776</v>
      </c>
      <c r="E66" s="15">
        <f t="shared" si="15"/>
        <v>2671.2878359922815</v>
      </c>
      <c r="F66" t="b">
        <f t="shared" si="16"/>
        <v>0</v>
      </c>
      <c r="G66">
        <f t="shared" si="17"/>
        <v>1</v>
      </c>
    </row>
    <row r="67" spans="1:7" x14ac:dyDescent="0.2">
      <c r="A67">
        <v>12</v>
      </c>
      <c r="B67" s="13">
        <f t="shared" si="12"/>
        <v>626.80743957041921</v>
      </c>
      <c r="C67" s="15">
        <f t="shared" si="13"/>
        <v>32324.147207306221</v>
      </c>
      <c r="D67" s="15">
        <f t="shared" si="14"/>
        <v>2939.9810113911262</v>
      </c>
      <c r="E67" s="15">
        <f t="shared" si="15"/>
        <v>2693.6789339421853</v>
      </c>
      <c r="F67" t="b">
        <f t="shared" si="16"/>
        <v>0</v>
      </c>
      <c r="G67">
        <f t="shared" si="17"/>
        <v>1</v>
      </c>
    </row>
    <row r="68" spans="1:7" x14ac:dyDescent="0.2">
      <c r="A68">
        <v>13</v>
      </c>
      <c r="B68" s="13">
        <f t="shared" si="12"/>
        <v>687.52941027880343</v>
      </c>
      <c r="C68" s="15">
        <f t="shared" si="13"/>
        <v>35312.548968014009</v>
      </c>
      <c r="D68" s="15">
        <f t="shared" si="14"/>
        <v>2988.4017607077876</v>
      </c>
      <c r="E68" s="15">
        <f t="shared" si="15"/>
        <v>2716.3499206164624</v>
      </c>
      <c r="F68" t="b">
        <f t="shared" si="16"/>
        <v>0</v>
      </c>
      <c r="G68">
        <f t="shared" si="17"/>
        <v>1</v>
      </c>
    </row>
    <row r="69" spans="1:7" x14ac:dyDescent="0.2">
      <c r="A69">
        <v>14</v>
      </c>
      <c r="B69" s="13">
        <f t="shared" si="12"/>
        <v>749.67149159246469</v>
      </c>
      <c r="C69" s="15">
        <f t="shared" si="13"/>
        <v>37835.130062369179</v>
      </c>
      <c r="D69" s="15">
        <f t="shared" si="14"/>
        <v>2522.5810943551696</v>
      </c>
      <c r="E69" s="15">
        <f t="shared" si="15"/>
        <v>2702.5092901692269</v>
      </c>
      <c r="F69" t="b">
        <f t="shared" si="16"/>
        <v>1</v>
      </c>
      <c r="G69">
        <f t="shared" si="17"/>
        <v>0</v>
      </c>
    </row>
    <row r="70" spans="1:7" x14ac:dyDescent="0.2">
      <c r="A70">
        <v>15</v>
      </c>
      <c r="B70" s="13">
        <f t="shared" si="12"/>
        <v>813.25969846861108</v>
      </c>
      <c r="C70" s="15">
        <f t="shared" si="13"/>
        <v>39819.091987302279</v>
      </c>
      <c r="D70" s="15">
        <f t="shared" si="14"/>
        <v>1983.9619249331008</v>
      </c>
      <c r="E70" s="15">
        <f t="shared" si="15"/>
        <v>2654.6061324868188</v>
      </c>
      <c r="F70" t="b">
        <f t="shared" si="16"/>
        <v>1</v>
      </c>
      <c r="G70">
        <f t="shared" si="17"/>
        <v>0</v>
      </c>
    </row>
    <row r="71" spans="1:7" x14ac:dyDescent="0.2">
      <c r="A71">
        <v>16</v>
      </c>
      <c r="B71" s="13">
        <f t="shared" si="12"/>
        <v>878.32047434610013</v>
      </c>
      <c r="C71" s="15">
        <f t="shared" si="13"/>
        <v>41828.619346286461</v>
      </c>
      <c r="D71" s="15">
        <f t="shared" si="14"/>
        <v>2009.5273589841818</v>
      </c>
      <c r="E71" s="15">
        <f t="shared" si="15"/>
        <v>2614.2887091429038</v>
      </c>
      <c r="F71" t="b">
        <f t="shared" si="16"/>
        <v>1</v>
      </c>
      <c r="G71">
        <f t="shared" si="17"/>
        <v>0</v>
      </c>
    </row>
    <row r="72" spans="1:7" x14ac:dyDescent="0.2">
      <c r="A72">
        <v>17</v>
      </c>
      <c r="B72" s="13">
        <f t="shared" si="12"/>
        <v>944.88069779264049</v>
      </c>
      <c r="C72" s="15">
        <f t="shared" si="13"/>
        <v>43864.178781122231</v>
      </c>
      <c r="D72" s="15">
        <f t="shared" si="14"/>
        <v>2035.5594348357699</v>
      </c>
      <c r="E72" s="15">
        <f t="shared" si="15"/>
        <v>2580.245810654249</v>
      </c>
      <c r="F72" t="b">
        <f t="shared" si="16"/>
        <v>1</v>
      </c>
      <c r="G72">
        <f t="shared" si="17"/>
        <v>0</v>
      </c>
    </row>
    <row r="73" spans="1:7" x14ac:dyDescent="0.2">
      <c r="A73">
        <v>18</v>
      </c>
      <c r="B73" s="13">
        <f t="shared" si="12"/>
        <v>1012.9676892512279</v>
      </c>
      <c r="C73" s="15">
        <f t="shared" si="13"/>
        <v>45926.244605056039</v>
      </c>
      <c r="D73" s="15">
        <f t="shared" si="14"/>
        <v>2062.0658239338081</v>
      </c>
      <c r="E73" s="15">
        <f t="shared" si="15"/>
        <v>2551.4580336142244</v>
      </c>
      <c r="F73" t="b">
        <f t="shared" si="16"/>
        <v>1</v>
      </c>
      <c r="G73">
        <f t="shared" si="17"/>
        <v>0</v>
      </c>
    </row>
    <row r="74" spans="1:7" x14ac:dyDescent="0.2">
      <c r="A74">
        <v>19</v>
      </c>
      <c r="B74" s="13">
        <f t="shared" si="12"/>
        <v>1082.6092178872495</v>
      </c>
      <c r="C74" s="15">
        <f t="shared" si="13"/>
        <v>48015.298921653637</v>
      </c>
      <c r="D74" s="15">
        <f t="shared" si="14"/>
        <v>2089.0543165975978</v>
      </c>
      <c r="E74" s="15">
        <f t="shared" si="15"/>
        <v>2527.1209958765071</v>
      </c>
      <c r="F74" t="b">
        <f t="shared" si="16"/>
        <v>1</v>
      </c>
      <c r="G74">
        <f t="shared" si="17"/>
        <v>0</v>
      </c>
    </row>
    <row r="75" spans="1:7" x14ac:dyDescent="0.2">
      <c r="A75">
        <v>20</v>
      </c>
      <c r="B75" s="13">
        <f t="shared" si="12"/>
        <v>1153.8335085377266</v>
      </c>
      <c r="C75" s="15">
        <f t="shared" si="13"/>
        <v>50131.831745446645</v>
      </c>
      <c r="D75" s="15">
        <f t="shared" si="14"/>
        <v>2116.532823793008</v>
      </c>
      <c r="E75" s="15">
        <f t="shared" si="15"/>
        <v>2506.5915872723322</v>
      </c>
      <c r="F75" t="b">
        <f t="shared" si="16"/>
        <v>1</v>
      </c>
      <c r="G75">
        <f t="shared" si="17"/>
        <v>0</v>
      </c>
    </row>
    <row r="76" spans="1:7" x14ac:dyDescent="0.2">
      <c r="A76">
        <v>21</v>
      </c>
      <c r="B76" s="13">
        <f t="shared" si="12"/>
        <v>1226.6692487641703</v>
      </c>
      <c r="C76" s="15">
        <f t="shared" si="13"/>
        <v>52276.341124377956</v>
      </c>
      <c r="D76" s="15">
        <f t="shared" si="14"/>
        <v>2144.5093789313105</v>
      </c>
      <c r="E76" s="15">
        <f t="shared" si="15"/>
        <v>2489.3495773513314</v>
      </c>
      <c r="F76" t="b">
        <f t="shared" si="16"/>
        <v>1</v>
      </c>
      <c r="G76">
        <f t="shared" si="17"/>
        <v>0</v>
      </c>
    </row>
    <row r="77" spans="1:7" x14ac:dyDescent="0.2">
      <c r="A77">
        <v>22</v>
      </c>
      <c r="B77" s="13">
        <f t="shared" si="12"/>
        <v>1301.1455960105666</v>
      </c>
      <c r="C77" s="15">
        <f t="shared" si="13"/>
        <v>54449.333264072338</v>
      </c>
      <c r="D77" s="15">
        <f t="shared" si="14"/>
        <v>2172.9921396943828</v>
      </c>
      <c r="E77" s="15">
        <f t="shared" si="15"/>
        <v>2474.9696938214697</v>
      </c>
      <c r="F77" t="b">
        <f t="shared" si="16"/>
        <v>1</v>
      </c>
      <c r="G77">
        <f t="shared" si="17"/>
        <v>0</v>
      </c>
    </row>
    <row r="78" spans="1:7" x14ac:dyDescent="0.2">
      <c r="A78">
        <v>23</v>
      </c>
      <c r="B78" s="13">
        <f t="shared" si="12"/>
        <v>1377.292184868003</v>
      </c>
      <c r="C78" s="15">
        <f t="shared" si="13"/>
        <v>56651.322653958385</v>
      </c>
      <c r="D78" s="15">
        <f t="shared" si="14"/>
        <v>2201.9893898860464</v>
      </c>
      <c r="E78" s="15">
        <f t="shared" si="15"/>
        <v>2463.1009849547122</v>
      </c>
      <c r="F78" t="b">
        <f t="shared" si="16"/>
        <v>1</v>
      </c>
      <c r="G78">
        <f t="shared" si="17"/>
        <v>0</v>
      </c>
    </row>
    <row r="79" spans="1:7" x14ac:dyDescent="0.2">
      <c r="A79">
        <v>24</v>
      </c>
      <c r="B79" s="13">
        <f t="shared" si="12"/>
        <v>1455.1391344474989</v>
      </c>
      <c r="C79" s="15">
        <f t="shared" si="13"/>
        <v>58882.832195269075</v>
      </c>
      <c r="D79" s="15">
        <f t="shared" si="14"/>
        <v>2231.5095413106901</v>
      </c>
      <c r="E79" s="15">
        <f t="shared" si="15"/>
        <v>2453.4513414695448</v>
      </c>
      <c r="F79" t="b">
        <f t="shared" si="16"/>
        <v>1</v>
      </c>
      <c r="G79">
        <f t="shared" si="17"/>
        <v>0</v>
      </c>
    </row>
    <row r="80" spans="1:7" x14ac:dyDescent="0.2">
      <c r="A80">
        <v>25</v>
      </c>
      <c r="B80" s="13">
        <f t="shared" si="12"/>
        <v>1534.7170558625965</v>
      </c>
      <c r="C80" s="15">
        <f t="shared" si="13"/>
        <v>61144.393330947853</v>
      </c>
      <c r="D80" s="15">
        <f t="shared" si="14"/>
        <v>2261.5611356787776</v>
      </c>
      <c r="E80" s="15">
        <f t="shared" si="15"/>
        <v>2445.7757332379142</v>
      </c>
      <c r="F80" t="b">
        <f t="shared" si="16"/>
        <v>1</v>
      </c>
      <c r="G80">
        <f t="shared" si="17"/>
        <v>0</v>
      </c>
    </row>
    <row r="81" spans="1:7" x14ac:dyDescent="0.2">
      <c r="A81">
        <v>26</v>
      </c>
      <c r="B81" s="13">
        <f t="shared" si="12"/>
        <v>1616.0570598233144</v>
      </c>
      <c r="C81" s="15">
        <f t="shared" si="13"/>
        <v>63436.546177488097</v>
      </c>
      <c r="D81" s="15">
        <f t="shared" si="14"/>
        <v>2292.1528465402444</v>
      </c>
      <c r="E81" s="15">
        <f t="shared" si="15"/>
        <v>2439.8671606726193</v>
      </c>
      <c r="F81" t="b">
        <f t="shared" si="16"/>
        <v>1</v>
      </c>
      <c r="G81">
        <f t="shared" si="17"/>
        <v>0</v>
      </c>
    </row>
    <row r="82" spans="1:7" x14ac:dyDescent="0.2">
      <c r="A82">
        <v>27</v>
      </c>
      <c r="B82" s="13">
        <f t="shared" si="12"/>
        <v>1699.1907643430709</v>
      </c>
      <c r="C82" s="15">
        <f t="shared" si="13"/>
        <v>65759.839658733865</v>
      </c>
      <c r="D82" s="15">
        <f t="shared" si="14"/>
        <v>2323.2934812457679</v>
      </c>
      <c r="E82" s="15">
        <f t="shared" si="15"/>
        <v>2435.549616990143</v>
      </c>
      <c r="F82" t="b">
        <f t="shared" si="16"/>
        <v>1</v>
      </c>
      <c r="G82">
        <f t="shared" si="17"/>
        <v>0</v>
      </c>
    </row>
    <row r="83" spans="1:7" x14ac:dyDescent="0.2">
      <c r="A83">
        <v>28</v>
      </c>
      <c r="B83" s="13">
        <f t="shared" si="12"/>
        <v>1784.1503025602246</v>
      </c>
      <c r="C83" s="15">
        <f t="shared" si="13"/>
        <v>68114.831641670564</v>
      </c>
      <c r="D83" s="15">
        <f t="shared" si="14"/>
        <v>2354.9919829366991</v>
      </c>
      <c r="E83" s="15">
        <f t="shared" si="15"/>
        <v>2432.6725586310918</v>
      </c>
      <c r="F83" t="b">
        <f t="shared" si="16"/>
        <v>1</v>
      </c>
      <c r="G83">
        <f t="shared" si="17"/>
        <v>0</v>
      </c>
    </row>
    <row r="84" spans="1:7" x14ac:dyDescent="0.2">
      <c r="A84">
        <v>29</v>
      </c>
      <c r="B84" s="13">
        <f t="shared" si="12"/>
        <v>1870.9683306758782</v>
      </c>
      <c r="C84" s="15">
        <f t="shared" si="13"/>
        <v>70502.089074233998</v>
      </c>
      <c r="D84" s="15">
        <f t="shared" si="14"/>
        <v>2387.2574325634341</v>
      </c>
      <c r="E84" s="15">
        <f t="shared" si="15"/>
        <v>2431.1065198011725</v>
      </c>
      <c r="F84" t="b">
        <f t="shared" si="16"/>
        <v>1</v>
      </c>
      <c r="G84">
        <f t="shared" si="17"/>
        <v>0</v>
      </c>
    </row>
    <row r="85" spans="1:7" x14ac:dyDescent="0.2">
      <c r="A85">
        <v>30</v>
      </c>
      <c r="B85" s="13">
        <f t="shared" si="12"/>
        <v>1959.6780360096488</v>
      </c>
      <c r="C85" s="15">
        <f t="shared" si="13"/>
        <v>72922.188125167508</v>
      </c>
      <c r="D85" s="15">
        <f t="shared" si="14"/>
        <v>2420.0990509335097</v>
      </c>
      <c r="E85" s="15">
        <f t="shared" si="15"/>
        <v>2430.7396041722504</v>
      </c>
      <c r="F85" t="b">
        <f t="shared" si="16"/>
        <v>1</v>
      </c>
      <c r="G85">
        <f t="shared" si="17"/>
        <v>0</v>
      </c>
    </row>
    <row r="86" spans="1:7" x14ac:dyDescent="0.2">
      <c r="A86" s="17" t="s">
        <v>159</v>
      </c>
      <c r="G86">
        <f>IFERROR(MATCH(1,G56:G85,0)-1,cap_m)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Model</vt:lpstr>
      <vt:lpstr>Schedules</vt:lpstr>
      <vt:lpstr>all_checks</vt:lpstr>
      <vt:lpstr>beds_max</vt:lpstr>
      <vt:lpstr>beds_total</vt:lpstr>
      <vt:lpstr>blended_rate</vt:lpstr>
      <vt:lpstr>cap_c</vt:lpstr>
      <vt:lpstr>cap_m</vt:lpstr>
      <vt:lpstr>cap_t</vt:lpstr>
      <vt:lpstr>cross_c</vt:lpstr>
      <vt:lpstr>cross_m</vt:lpstr>
      <vt:lpstr>cross_t</vt:lpstr>
      <vt:lpstr>dim_c</vt:lpstr>
      <vt:lpstr>dim_m</vt:lpstr>
      <vt:lpstr>dim_t</vt:lpstr>
      <vt:lpstr>fert_c</vt:lpstr>
      <vt:lpstr>fert_cost_c</vt:lpstr>
      <vt:lpstr>fert_cost_m</vt:lpstr>
      <vt:lpstr>fert_cost_t</vt:lpstr>
      <vt:lpstr>fert_m</vt:lpstr>
      <vt:lpstr>fert_t</vt:lpstr>
      <vt:lpstr>field_share</vt:lpstr>
      <vt:lpstr>fixed_cost</vt:lpstr>
      <vt:lpstr>hrs_c</vt:lpstr>
      <vt:lpstr>hrs_m</vt:lpstr>
      <vt:lpstr>hrs_per_wk</vt:lpstr>
      <vt:lpstr>hrs_t</vt:lpstr>
      <vt:lpstr>labor_cost</vt:lpstr>
      <vt:lpstr>labor_cost_c</vt:lpstr>
      <vt:lpstr>labor_cost_m</vt:lpstr>
      <vt:lpstr>labor_cost_t</vt:lpstr>
      <vt:lpstr>labor_hrs_c</vt:lpstr>
      <vt:lpstr>labor_hrs_m</vt:lpstr>
      <vt:lpstr>labor_hrs_t</vt:lpstr>
      <vt:lpstr>labor_hrs_t_q1</vt:lpstr>
      <vt:lpstr>owner_paid_hrs</vt:lpstr>
      <vt:lpstr>owner_pay</vt:lpstr>
      <vt:lpstr>perm_field_hrs</vt:lpstr>
      <vt:lpstr>perm_rate</vt:lpstr>
      <vt:lpstr>perm_used</vt:lpstr>
      <vt:lpstr>price_c</vt:lpstr>
      <vt:lpstr>price_m</vt:lpstr>
      <vt:lpstr>price_t</vt:lpstr>
      <vt:lpstr>profit_total</vt:lpstr>
      <vt:lpstr>q_carrot</vt:lpstr>
      <vt:lpstr>q_mesclun</vt:lpstr>
      <vt:lpstr>q_tomato</vt:lpstr>
      <vt:lpstr>revenue_c</vt:lpstr>
      <vt:lpstr>revenue_m</vt:lpstr>
      <vt:lpstr>revenue_t</vt:lpstr>
      <vt:lpstr>temp_hrs</vt:lpstr>
      <vt:lpstr>temp_hrs_per_worker</vt:lpstr>
      <vt:lpstr>temp_max</vt:lpstr>
      <vt:lpstr>temp_pay</vt:lpstr>
      <vt:lpstr>temp_rate</vt:lpstr>
      <vt:lpstr>temp_workers</vt:lpstr>
      <vt:lpstr>total_hrs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Burkhart</cp:lastModifiedBy>
  <dcterms:created xsi:type="dcterms:W3CDTF">2026-10-17T10:48:28Z</dcterms:created>
  <dcterms:modified xsi:type="dcterms:W3CDTF">2026-10-17T10:53:53Z</dcterms:modified>
</cp:coreProperties>
</file>